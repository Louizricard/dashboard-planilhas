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tos" sheetId="1" state="visible" r:id="rId3"/>
    <sheet name="Catálogo fornecedores" sheetId="2" state="visible" r:id="rId4"/>
    <sheet name="Como preencher" sheetId="3" state="visible" r:id="rId5"/>
    <sheet name="Pendências" sheetId="4" state="visible" r:id="rId6"/>
    <sheet name="Resumo" sheetId="5" state="visible" r:id="rId7"/>
  </sheets>
  <definedNames>
    <definedName function="false" hidden="true" localSheetId="1" name="_xlnm._FilterDatabase" vbProcedure="false">'Catálogo fornecedores'!$A$4:$G$267</definedName>
    <definedName function="false" hidden="true" localSheetId="0" name="_xlnm._FilterDatabase" vbProcedure="false">Produtos!$A$1:$U$155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<sst xmlns="http://schemas.openxmlformats.org/spreadsheetml/2006/main" count="3012" uniqueCount="1084">
  <si>
    <t xml:space="preserve">id</t>
  </si>
  <si>
    <t xml:space="preserve">nome</t>
  </si>
  <si>
    <t xml:space="preserve">categoria</t>
  </si>
  <si>
    <t xml:space="preserve">subcategoria</t>
  </si>
  <si>
    <t xml:space="preserve">marca</t>
  </si>
  <si>
    <t xml:space="preserve">embalagem</t>
  </si>
  <si>
    <t xml:space="preserve">unidadeVenda</t>
  </si>
  <si>
    <t xml:space="preserve">preco</t>
  </si>
  <si>
    <t xml:space="preserve">caixaQuantidade</t>
  </si>
  <si>
    <t xml:space="preserve">caixaPreco</t>
  </si>
  <si>
    <t xml:space="preserve">foto</t>
  </si>
  <si>
    <t xml:space="preserve">disponivel</t>
  </si>
  <si>
    <t xml:space="preserve">destaque</t>
  </si>
  <si>
    <t xml:space="preserve">descricao</t>
  </si>
  <si>
    <t xml:space="preserve">publicar</t>
  </si>
  <si>
    <t xml:space="preserve">codigoSistema</t>
  </si>
  <si>
    <t xml:space="preserve">ean</t>
  </si>
  <si>
    <t xml:space="preserve">status</t>
  </si>
  <si>
    <t xml:space="preserve">observacao</t>
  </si>
  <si>
    <t xml:space="preserve">estoqueSistema</t>
  </si>
  <si>
    <t xml:space="preserve">precoRevenda</t>
  </si>
  <si>
    <t xml:space="preserve">polpa-de-acerola-brasfrut-pacote-com-12-100-g</t>
  </si>
  <si>
    <t xml:space="preserve">Polpa de Acerola</t>
  </si>
  <si>
    <t xml:space="preserve">polpas</t>
  </si>
  <si>
    <t xml:space="preserve">Polpa 100 g</t>
  </si>
  <si>
    <t xml:space="preserve">Brasfrut</t>
  </si>
  <si>
    <t xml:space="preserve">Pacote com 12 × 100 g</t>
  </si>
  <si>
    <t xml:space="preserve">pacote</t>
  </si>
  <si>
    <t xml:space="preserve">50003</t>
  </si>
  <si>
    <t xml:space="preserve">7896014400287</t>
  </si>
  <si>
    <t xml:space="preserve">Ok</t>
  </si>
  <si>
    <t xml:space="preserve">polpa-de-cacau-brasfrut-pacote-com-12-100-g</t>
  </si>
  <si>
    <t xml:space="preserve">Polpa de Cacau</t>
  </si>
  <si>
    <t xml:space="preserve">50004</t>
  </si>
  <si>
    <t xml:space="preserve">7896014400379</t>
  </si>
  <si>
    <t xml:space="preserve">polpa-de-caja-brasfrut-pacote-com-12-100-g</t>
  </si>
  <si>
    <t xml:space="preserve">Polpa de Cajá</t>
  </si>
  <si>
    <t xml:space="preserve">50005</t>
  </si>
  <si>
    <t xml:space="preserve">7896014400461</t>
  </si>
  <si>
    <t xml:space="preserve">polpa-de-caju-brasfrut-pacote-com-12-100-g</t>
  </si>
  <si>
    <t xml:space="preserve">Polpa de Caju</t>
  </si>
  <si>
    <t xml:space="preserve">50006</t>
  </si>
  <si>
    <t xml:space="preserve">7896014400553</t>
  </si>
  <si>
    <t xml:space="preserve">polpa-de-cupuacu-brasfrut-pacote-com-12-100-g</t>
  </si>
  <si>
    <t xml:space="preserve">Polpa de Cupuaçu</t>
  </si>
  <si>
    <t xml:space="preserve">50007</t>
  </si>
  <si>
    <t xml:space="preserve">7896014499007</t>
  </si>
  <si>
    <t xml:space="preserve">polpa-de-goiaba-brasfrut-pacote-com-12-100-g</t>
  </si>
  <si>
    <t xml:space="preserve">Polpa de Goiaba</t>
  </si>
  <si>
    <t xml:space="preserve">50008</t>
  </si>
  <si>
    <t xml:space="preserve">7896014400645</t>
  </si>
  <si>
    <t xml:space="preserve">polpa-de-graviola-brasfrut-pacote-com-12-100-g</t>
  </si>
  <si>
    <t xml:space="preserve">Polpa de Graviola</t>
  </si>
  <si>
    <t xml:space="preserve">50009</t>
  </si>
  <si>
    <t xml:space="preserve">7896014401079</t>
  </si>
  <si>
    <t xml:space="preserve">polpa-de-manga-brasfrut-pacote-com-12-100-g</t>
  </si>
  <si>
    <t xml:space="preserve">Polpa de Manga</t>
  </si>
  <si>
    <t xml:space="preserve">50011</t>
  </si>
  <si>
    <t xml:space="preserve">7896014400737</t>
  </si>
  <si>
    <t xml:space="preserve">polpa-de-maracuja-brasfrut-pacote-com-12-100-g</t>
  </si>
  <si>
    <t xml:space="preserve">Polpa de Maracujá</t>
  </si>
  <si>
    <t xml:space="preserve">50013</t>
  </si>
  <si>
    <t xml:space="preserve">7896014400829</t>
  </si>
  <si>
    <t xml:space="preserve">polpa-de-morango-brasfrut-pacote-com-12-100-g</t>
  </si>
  <si>
    <t xml:space="preserve">Polpa de Morango</t>
  </si>
  <si>
    <t xml:space="preserve">50015</t>
  </si>
  <si>
    <t xml:space="preserve">7896014403103</t>
  </si>
  <si>
    <t xml:space="preserve">polpa-de-uva-brasfrut-pacote-com-12-100-g</t>
  </si>
  <si>
    <t xml:space="preserve">Polpa de Uva</t>
  </si>
  <si>
    <t xml:space="preserve">50018</t>
  </si>
  <si>
    <t xml:space="preserve">7896014403455</t>
  </si>
  <si>
    <t xml:space="preserve">polpa-de-tamarindo-brasfrut-pacote-com-12-100-g</t>
  </si>
  <si>
    <t xml:space="preserve">Polpa de Tamarindo</t>
  </si>
  <si>
    <t xml:space="preserve">50019</t>
  </si>
  <si>
    <t xml:space="preserve">7896014490004</t>
  </si>
  <si>
    <t xml:space="preserve">polpa-de-abacaxi-brasfrut-pacote-com-12-100-g</t>
  </si>
  <si>
    <t xml:space="preserve">Polpa de Abacaxi</t>
  </si>
  <si>
    <t xml:space="preserve">50001</t>
  </si>
  <si>
    <t xml:space="preserve">7896014400195</t>
  </si>
  <si>
    <t xml:space="preserve">polpa-de-abacaxi-nutricau-pacote-com-12-100-g</t>
  </si>
  <si>
    <t xml:space="preserve">Nutricau</t>
  </si>
  <si>
    <t xml:space="preserve">003</t>
  </si>
  <si>
    <t xml:space="preserve">polpa-de-umbu-brasfrut-pacote-com-12-100-g</t>
  </si>
  <si>
    <t xml:space="preserve">Polpa de Umbu</t>
  </si>
  <si>
    <t xml:space="preserve">50017</t>
  </si>
  <si>
    <t xml:space="preserve">7896014400911</t>
  </si>
  <si>
    <t xml:space="preserve">polpa-de-abacaxi-brasfrut-pacote-1-02-kg-vendido-por-kg</t>
  </si>
  <si>
    <t xml:space="preserve">Polpa 1,02 kg</t>
  </si>
  <si>
    <t xml:space="preserve">Pacote 1,02 kg (vendido por kg)</t>
  </si>
  <si>
    <t xml:space="preserve">kg</t>
  </si>
  <si>
    <t xml:space="preserve">80001</t>
  </si>
  <si>
    <t xml:space="preserve">7896014400652</t>
  </si>
  <si>
    <t xml:space="preserve">polpa-de-acerola-brasfrut-pacote-1-02-kg-vendido-por-kg</t>
  </si>
  <si>
    <t xml:space="preserve">80003</t>
  </si>
  <si>
    <t xml:space="preserve">7896014400676</t>
  </si>
  <si>
    <t xml:space="preserve">polpa-de-caju-brasfrut-pacote-1-02-kg-vendido-por-kg</t>
  </si>
  <si>
    <t xml:space="preserve">80006</t>
  </si>
  <si>
    <t xml:space="preserve">7896014400706</t>
  </si>
  <si>
    <t xml:space="preserve">polpa-de-goiaba-brasfrut-pacote-1-02-kg-vendido-por-kg</t>
  </si>
  <si>
    <t xml:space="preserve">80008</t>
  </si>
  <si>
    <t xml:space="preserve">7896014400720</t>
  </si>
  <si>
    <t xml:space="preserve">polpa-de-tamarindo-brasfrut-pacote-1-02-kg-vendido-por-kg</t>
  </si>
  <si>
    <t xml:space="preserve">80019</t>
  </si>
  <si>
    <t xml:space="preserve">7896014400843</t>
  </si>
  <si>
    <t xml:space="preserve">file-de-mapara-por-kg</t>
  </si>
  <si>
    <t xml:space="preserve">Filé de Mapará</t>
  </si>
  <si>
    <t xml:space="preserve">peixes</t>
  </si>
  <si>
    <t xml:space="preserve">Peixes e frutos do mar</t>
  </si>
  <si>
    <t xml:space="preserve">Por kg</t>
  </si>
  <si>
    <t xml:space="preserve">60</t>
  </si>
  <si>
    <t xml:space="preserve">polpa-de-maracuja-fauzi-pacote-com-10-100-g</t>
  </si>
  <si>
    <t xml:space="preserve">Fauzi</t>
  </si>
  <si>
    <t xml:space="preserve">Pacote com 10 × 100 g</t>
  </si>
  <si>
    <t xml:space="preserve">00200</t>
  </si>
  <si>
    <t xml:space="preserve">posta-de-piramutaba-por-kg</t>
  </si>
  <si>
    <t xml:space="preserve">Posta de Piramutaba</t>
  </si>
  <si>
    <t xml:space="preserve">035</t>
  </si>
  <si>
    <t xml:space="preserve">file-de-merluza-por-kg</t>
  </si>
  <si>
    <t xml:space="preserve">Filé de Merluza</t>
  </si>
  <si>
    <t xml:space="preserve">33</t>
  </si>
  <si>
    <t xml:space="preserve">camarao-cinza-eviscerado-sem-colinha-por-kg</t>
  </si>
  <si>
    <t xml:space="preserve">Camarão Cinza Eviscerado sem Colinha</t>
  </si>
  <si>
    <t xml:space="preserve">0400</t>
  </si>
  <si>
    <t xml:space="preserve">posta-de-pintado-por-kg-pacote-500-g</t>
  </si>
  <si>
    <t xml:space="preserve">Posta de Pintado</t>
  </si>
  <si>
    <t xml:space="preserve">Por kg (pacote 500 g)</t>
  </si>
  <si>
    <t xml:space="preserve">0000034</t>
  </si>
  <si>
    <t xml:space="preserve">Conferir</t>
  </si>
  <si>
    <t xml:space="preserve">Sistema: 'POSTA DE PINTADO 500G' com unidade KG. Conferir se o preço é por kg ou por pacote.</t>
  </si>
  <si>
    <t xml:space="preserve">bolinho-de-bacalhau-pacote-500-g</t>
  </si>
  <si>
    <t xml:space="preserve">Bolinho de Bacalhau</t>
  </si>
  <si>
    <t xml:space="preserve">salgados</t>
  </si>
  <si>
    <t xml:space="preserve">Salgados</t>
  </si>
  <si>
    <t xml:space="preserve">Pacote 500 g</t>
  </si>
  <si>
    <t xml:space="preserve">50039</t>
  </si>
  <si>
    <t xml:space="preserve">polpa-de-tangerina-brasfrut-pacote-com-12-100-g</t>
  </si>
  <si>
    <t xml:space="preserve">Polpa de Tangerina</t>
  </si>
  <si>
    <t xml:space="preserve">50021</t>
  </si>
  <si>
    <t xml:space="preserve">7896014401567</t>
  </si>
  <si>
    <t xml:space="preserve">bacalhau-desfiado-por-kg</t>
  </si>
  <si>
    <t xml:space="preserve">Bacalhau Desfiado</t>
  </si>
  <si>
    <t xml:space="preserve">151</t>
  </si>
  <si>
    <t xml:space="preserve">casquinha-de-siri-fast-fish-pacote-300-g</t>
  </si>
  <si>
    <t xml:space="preserve">Casquinha de Siri</t>
  </si>
  <si>
    <t xml:space="preserve">Fast Fish</t>
  </si>
  <si>
    <t xml:space="preserve">Pacote 300 g</t>
  </si>
  <si>
    <t xml:space="preserve">51318</t>
  </si>
  <si>
    <t xml:space="preserve">camarao-sete-barbas-por-kg</t>
  </si>
  <si>
    <t xml:space="preserve">Camarão Sete Barbas</t>
  </si>
  <si>
    <t xml:space="preserve">10116</t>
  </si>
  <si>
    <t xml:space="preserve">file-de-tilapia-por-kg</t>
  </si>
  <si>
    <t xml:space="preserve">Filé de Tilápia</t>
  </si>
  <si>
    <t xml:space="preserve">20017</t>
  </si>
  <si>
    <t xml:space="preserve">file-de-pintado-por-kg-pacote-500-g</t>
  </si>
  <si>
    <t xml:space="preserve">Filé de Pintado</t>
  </si>
  <si>
    <t xml:space="preserve">527</t>
  </si>
  <si>
    <t xml:space="preserve">file-de-salmao-premium-por-kg</t>
  </si>
  <si>
    <t xml:space="preserve">Filé de Salmão Premium</t>
  </si>
  <si>
    <t xml:space="preserve">530</t>
  </si>
  <si>
    <t xml:space="preserve">kani-kama-pacote-250-g</t>
  </si>
  <si>
    <t xml:space="preserve">Kani Kama</t>
  </si>
  <si>
    <t xml:space="preserve">Pacote 250 g</t>
  </si>
  <si>
    <t xml:space="preserve">250</t>
  </si>
  <si>
    <t xml:space="preserve">file-de-aruana-por-kg</t>
  </si>
  <si>
    <t xml:space="preserve">Filé de Aruanã</t>
  </si>
  <si>
    <t xml:space="preserve">87</t>
  </si>
  <si>
    <t xml:space="preserve">camarao-rosa-por-kg</t>
  </si>
  <si>
    <t xml:space="preserve">Camarão Rosa</t>
  </si>
  <si>
    <t xml:space="preserve">89</t>
  </si>
  <si>
    <t xml:space="preserve">file-de-robalo-por-kg</t>
  </si>
  <si>
    <t xml:space="preserve">Filé de Robalo</t>
  </si>
  <si>
    <t xml:space="preserve">25</t>
  </si>
  <si>
    <t xml:space="preserve">posta-de-pintado-por-kg-pacote-700-g</t>
  </si>
  <si>
    <t xml:space="preserve">Por kg (pacote 700 g)</t>
  </si>
  <si>
    <t xml:space="preserve">526</t>
  </si>
  <si>
    <t xml:space="preserve">Sistema: 'PCT 700G' com unidade KG. Conferir se o preço é por kg ou por pacote.</t>
  </si>
  <si>
    <t xml:space="preserve">mexilhao-por-kg</t>
  </si>
  <si>
    <t xml:space="preserve">Mexilhão</t>
  </si>
  <si>
    <t xml:space="preserve">777777</t>
  </si>
  <si>
    <t xml:space="preserve">posta-de-dourada-por-kg</t>
  </si>
  <si>
    <t xml:space="preserve">Posta de Dourada</t>
  </si>
  <si>
    <t xml:space="preserve">152</t>
  </si>
  <si>
    <t xml:space="preserve">camarao-rosa-inteiro-por-kg</t>
  </si>
  <si>
    <t xml:space="preserve">Camarão Rosa Inteiro</t>
  </si>
  <si>
    <t xml:space="preserve">292</t>
  </si>
  <si>
    <t xml:space="preserve">polpa-de-coco-brasfrut-pacote-com-12-100-g</t>
  </si>
  <si>
    <t xml:space="preserve">Polpa de Coco</t>
  </si>
  <si>
    <t xml:space="preserve">50023</t>
  </si>
  <si>
    <t xml:space="preserve">7896014400355</t>
  </si>
  <si>
    <t xml:space="preserve">bacalhau-lombo-morhua-liberalves-por-kg-1-kg</t>
  </si>
  <si>
    <t xml:space="preserve">Bacalhau Lombo Morhua</t>
  </si>
  <si>
    <t xml:space="preserve">Liberalves</t>
  </si>
  <si>
    <t xml:space="preserve">Por kg (1 kg)</t>
  </si>
  <si>
    <t xml:space="preserve">97241</t>
  </si>
  <si>
    <t xml:space="preserve">polpa-de-uva-nature-pacote-com-12-100-g</t>
  </si>
  <si>
    <t xml:space="preserve">Nature</t>
  </si>
  <si>
    <t xml:space="preserve">70018</t>
  </si>
  <si>
    <t xml:space="preserve">abacaxi-congelado-pacote-1-02-kg-vendido-por-kg</t>
  </si>
  <si>
    <t xml:space="preserve">Abacaxi Congelado</t>
  </si>
  <si>
    <t xml:space="preserve">frutas</t>
  </si>
  <si>
    <t xml:space="preserve">Frutas congeladas</t>
  </si>
  <si>
    <t xml:space="preserve">70010</t>
  </si>
  <si>
    <t xml:space="preserve">frutas-vermelhas-congeladas-pacote-1-kg-vendido-por-kg</t>
  </si>
  <si>
    <t xml:space="preserve">Frutas Vermelhas Congeladas</t>
  </si>
  <si>
    <t xml:space="preserve">Pacote 1 kg (vendido por kg)</t>
  </si>
  <si>
    <t xml:space="preserve">70012</t>
  </si>
  <si>
    <t xml:space="preserve">bolinho-de-bacalhau-caixa-12-360-g-vendido-por-kg</t>
  </si>
  <si>
    <t xml:space="preserve">Caixa 12 × 360 g (vendido por kg)</t>
  </si>
  <si>
    <t xml:space="preserve">204</t>
  </si>
  <si>
    <t xml:space="preserve">file-de-pirarucu-por-kg</t>
  </si>
  <si>
    <t xml:space="preserve">Filé de Pirarucu</t>
  </si>
  <si>
    <t xml:space="preserve">000400</t>
  </si>
  <si>
    <t xml:space="preserve">tentaculos-de-polvo-pacote-300-g</t>
  </si>
  <si>
    <t xml:space="preserve">Tentáculos de Polvo</t>
  </si>
  <si>
    <t xml:space="preserve">000236</t>
  </si>
  <si>
    <t xml:space="preserve">bacalhau-lombo-por-kg</t>
  </si>
  <si>
    <t xml:space="preserve">Bacalhau Lombo</t>
  </si>
  <si>
    <t xml:space="preserve">000151</t>
  </si>
  <si>
    <t xml:space="preserve">caranha-inteira-escamada-por-kg</t>
  </si>
  <si>
    <t xml:space="preserve">Caranha Inteira Escamada</t>
  </si>
  <si>
    <t xml:space="preserve">000015</t>
  </si>
  <si>
    <t xml:space="preserve">costelinha-de-caranha-por-kg</t>
  </si>
  <si>
    <t xml:space="preserve">Costelinha de Caranha</t>
  </si>
  <si>
    <t xml:space="preserve">000013</t>
  </si>
  <si>
    <t xml:space="preserve">camarao-sete-barbas-por-kg-pacote-500-g</t>
  </si>
  <si>
    <t xml:space="preserve">100003</t>
  </si>
  <si>
    <t xml:space="preserve">camarao-rosa-31-40-por-kg</t>
  </si>
  <si>
    <t xml:space="preserve">Camarão Rosa 31/40</t>
  </si>
  <si>
    <t xml:space="preserve">100101</t>
  </si>
  <si>
    <t xml:space="preserve">posta-de-mapara-por-kg-pacote-700-g</t>
  </si>
  <si>
    <t xml:space="preserve">Posta de Mapará</t>
  </si>
  <si>
    <t xml:space="preserve">000100</t>
  </si>
  <si>
    <t xml:space="preserve">Sistema: R$ 16,00/kg parece baixo. Conferir.</t>
  </si>
  <si>
    <t xml:space="preserve">polpa-mista-de-abacaxi-e-hortela-brasfrut-pacote-com-12-100-g</t>
  </si>
  <si>
    <t xml:space="preserve">Polpa Mista de Abacaxi e Hortelã</t>
  </si>
  <si>
    <t xml:space="preserve">50025</t>
  </si>
  <si>
    <t xml:space="preserve">7896014400331</t>
  </si>
  <si>
    <t xml:space="preserve">polpa-de-manga-brasfrut-pacote-1-02-kg-vendido-por-kg</t>
  </si>
  <si>
    <t xml:space="preserve">80012</t>
  </si>
  <si>
    <t xml:space="preserve">7896014400775</t>
  </si>
  <si>
    <t xml:space="preserve">polpa-de-amora-brasfrut-pacote-com-12-100-g</t>
  </si>
  <si>
    <t xml:space="preserve">Polpa de Amora</t>
  </si>
  <si>
    <t xml:space="preserve">50026</t>
  </si>
  <si>
    <t xml:space="preserve">7896014400928</t>
  </si>
  <si>
    <t xml:space="preserve">file-de-surubim-pacote-800-g</t>
  </si>
  <si>
    <t xml:space="preserve">Filé de Surubim</t>
  </si>
  <si>
    <t xml:space="preserve">Pacote 800 g</t>
  </si>
  <si>
    <t xml:space="preserve">002224</t>
  </si>
  <si>
    <t xml:space="preserve">file-de-cambucu-pacote-800-g</t>
  </si>
  <si>
    <t xml:space="preserve">Filé de Cambuçu</t>
  </si>
  <si>
    <t xml:space="preserve">12801</t>
  </si>
  <si>
    <t xml:space="preserve">mirtilo-congelado-por-kg</t>
  </si>
  <si>
    <t xml:space="preserve">Mirtilo Congelado</t>
  </si>
  <si>
    <t xml:space="preserve">7113</t>
  </si>
  <si>
    <t xml:space="preserve">bolinho-de-camarao-pacote-500-g</t>
  </si>
  <si>
    <t xml:space="preserve">Bolinho de Camarão</t>
  </si>
  <si>
    <t xml:space="preserve">142123</t>
  </si>
  <si>
    <t xml:space="preserve">bolinho-de-mandioca-com-carne-seca-pacote-500-g</t>
  </si>
  <si>
    <t xml:space="preserve">Bolinho de Mandioca com Carne Seca</t>
  </si>
  <si>
    <t xml:space="preserve">141242</t>
  </si>
  <si>
    <t xml:space="preserve">kibe-de-tilapia-com-queijo-pacote-500-g</t>
  </si>
  <si>
    <t xml:space="preserve">Kibe de Tilápia com Queijo</t>
  </si>
  <si>
    <t xml:space="preserve">un</t>
  </si>
  <si>
    <t xml:space="preserve">349</t>
  </si>
  <si>
    <t xml:space="preserve">bolinho-de-tucunare-com-queijo-pacote-500-g</t>
  </si>
  <si>
    <t xml:space="preserve">Bolinho de Tucunaré com Queijo</t>
  </si>
  <si>
    <t xml:space="preserve">14124</t>
  </si>
  <si>
    <t xml:space="preserve">torresmo-recheado-pacote-500-g</t>
  </si>
  <si>
    <t xml:space="preserve">Torresmo Recheado</t>
  </si>
  <si>
    <t xml:space="preserve">142125</t>
  </si>
  <si>
    <t xml:space="preserve">mini-pastel-de-carne-la-fig-pacote-280-g</t>
  </si>
  <si>
    <t xml:space="preserve">Mini Pastel de Carne</t>
  </si>
  <si>
    <t xml:space="preserve">La Fig</t>
  </si>
  <si>
    <t xml:space="preserve">Pacote 280 g</t>
  </si>
  <si>
    <t xml:space="preserve">1421243</t>
  </si>
  <si>
    <t xml:space="preserve">mini-pastel-de-queijo-la-fig-pacote-280-g</t>
  </si>
  <si>
    <t xml:space="preserve">Mini Pastel de Queijo</t>
  </si>
  <si>
    <t xml:space="preserve">1421244</t>
  </si>
  <si>
    <t xml:space="preserve">bolinho-de-cabotia-com-carne-seca-pacote-500-g</t>
  </si>
  <si>
    <t xml:space="preserve">Bolinho de Cabotiá com Carne Seca</t>
  </si>
  <si>
    <t xml:space="preserve">2525</t>
  </si>
  <si>
    <t xml:space="preserve">morango-congelado-frut-center-pacote-1-02-kg-vendido-por-kg</t>
  </si>
  <si>
    <t xml:space="preserve">Morango Congelado</t>
  </si>
  <si>
    <t xml:space="preserve">Frut Center</t>
  </si>
  <si>
    <t xml:space="preserve">809</t>
  </si>
  <si>
    <t xml:space="preserve">lombo-de-pintado-por-kg</t>
  </si>
  <si>
    <t xml:space="preserve">Lombo de Pintado</t>
  </si>
  <si>
    <t xml:space="preserve">238</t>
  </si>
  <si>
    <t xml:space="preserve">manjuba-inteira-pacote-800-g</t>
  </si>
  <si>
    <t xml:space="preserve">Manjuba Inteira</t>
  </si>
  <si>
    <t xml:space="preserve">80622</t>
  </si>
  <si>
    <t xml:space="preserve">morango-congelado-pacote-1-02-kg-vendido-por-kg</t>
  </si>
  <si>
    <t xml:space="preserve">0611</t>
  </si>
  <si>
    <t xml:space="preserve">Sistema: marca FrutBras (maior estoque). No site sem marca e sem foto da embalagem. Confirmar com o chefe.</t>
  </si>
  <si>
    <t xml:space="preserve">file-de-panga-pacote-400-g</t>
  </si>
  <si>
    <t xml:space="preserve">Filé de Panga</t>
  </si>
  <si>
    <t xml:space="preserve">Pacote 400 g</t>
  </si>
  <si>
    <t xml:space="preserve">999929</t>
  </si>
  <si>
    <t xml:space="preserve">sardinha-laje-pacote-400-g</t>
  </si>
  <si>
    <t xml:space="preserve">Sardinha Laje</t>
  </si>
  <si>
    <t xml:space="preserve">999930</t>
  </si>
  <si>
    <t xml:space="preserve">sardinha-laje-eviscerada-por-kg</t>
  </si>
  <si>
    <t xml:space="preserve">Sardinha Laje Eviscerada</t>
  </si>
  <si>
    <t xml:space="preserve">999931</t>
  </si>
  <si>
    <t xml:space="preserve">amora-congelada-por-kg</t>
  </si>
  <si>
    <t xml:space="preserve">Amora Congelada</t>
  </si>
  <si>
    <t xml:space="preserve">253</t>
  </si>
  <si>
    <t xml:space="preserve">framboesa-congelada-por-kg</t>
  </si>
  <si>
    <t xml:space="preserve">Framboesa Congelada</t>
  </si>
  <si>
    <t xml:space="preserve">252</t>
  </si>
  <si>
    <t xml:space="preserve">framboesa-congelada-peterfrut-bandeja-500-g</t>
  </si>
  <si>
    <t xml:space="preserve">Peterfrut</t>
  </si>
  <si>
    <t xml:space="preserve">Bandeja 500 g</t>
  </si>
  <si>
    <t xml:space="preserve">bandeja</t>
  </si>
  <si>
    <t xml:space="preserve">000092</t>
  </si>
  <si>
    <t xml:space="preserve">morango-congelado-ahs-pacote-1-02-kg-vendido-por-kg</t>
  </si>
  <si>
    <t xml:space="preserve">AHS</t>
  </si>
  <si>
    <t xml:space="preserve">000254</t>
  </si>
  <si>
    <t xml:space="preserve">bolinho-de-tilapia-com-queijo-pacote-500-g</t>
  </si>
  <si>
    <t xml:space="preserve">Bolinho de Tilápia com Queijo</t>
  </si>
  <si>
    <t xml:space="preserve">545</t>
  </si>
  <si>
    <t xml:space="preserve">camarao-desc-eviscerado-cauda-41-50-por-kg</t>
  </si>
  <si>
    <t xml:space="preserve">Camarão Desc. Eviscerado Cauda 41/50</t>
  </si>
  <si>
    <t xml:space="preserve">10000005</t>
  </si>
  <si>
    <t xml:space="preserve">camarao-cinza-41-50-por-kg</t>
  </si>
  <si>
    <t xml:space="preserve">Camarão Cinza 41/50</t>
  </si>
  <si>
    <t xml:space="preserve">000948</t>
  </si>
  <si>
    <t xml:space="preserve">camarao-cinza-empanado-sem-cauda-bandeja-350-g</t>
  </si>
  <si>
    <t xml:space="preserve">Camarão Cinza Empanado sem Cauda</t>
  </si>
  <si>
    <t xml:space="preserve">Bandeja 350 g</t>
  </si>
  <si>
    <t xml:space="preserve">000914</t>
  </si>
  <si>
    <t xml:space="preserve">bolinho-de-costela-pacote-500-g</t>
  </si>
  <si>
    <t xml:space="preserve">Bolinho de Costela</t>
  </si>
  <si>
    <t xml:space="preserve">12345</t>
  </si>
  <si>
    <t xml:space="preserve">gelo-saborizado-agua-de-coco-coco-leve-190-g</t>
  </si>
  <si>
    <t xml:space="preserve">Gelo Saborizado Água de Coco</t>
  </si>
  <si>
    <t xml:space="preserve">gelo</t>
  </si>
  <si>
    <t xml:space="preserve">Coco Leve</t>
  </si>
  <si>
    <t xml:space="preserve">190 g</t>
  </si>
  <si>
    <t xml:space="preserve">515</t>
  </si>
  <si>
    <t xml:space="preserve">Sistema: unidade 'CX' mas preço de R$ 2,60 parece ser por unidade. Catálogo do fornecedor diz 55 g; sistema diz 190 g. Conferir.</t>
  </si>
  <si>
    <t xml:space="preserve">gelo-saborizado-laranja-coco-leve-190-g</t>
  </si>
  <si>
    <t xml:space="preserve">Gelo Saborizado Laranja</t>
  </si>
  <si>
    <t xml:space="preserve">516</t>
  </si>
  <si>
    <t xml:space="preserve">gelo-saborizado-limao-coco-leve-190-g</t>
  </si>
  <si>
    <t xml:space="preserve">Gelo Saborizado Limão</t>
  </si>
  <si>
    <t xml:space="preserve">517</t>
  </si>
  <si>
    <t xml:space="preserve">gelo-saborizado-maca-verde-coco-leve-190-g</t>
  </si>
  <si>
    <t xml:space="preserve">Gelo Saborizado Maçã Verde</t>
  </si>
  <si>
    <t xml:space="preserve">518</t>
  </si>
  <si>
    <t xml:space="preserve">gelo-saborizado-maracuja-coco-leve-190-g</t>
  </si>
  <si>
    <t xml:space="preserve">Gelo Saborizado Maracujá</t>
  </si>
  <si>
    <t xml:space="preserve">519</t>
  </si>
  <si>
    <t xml:space="preserve">gelo-saborizado-melancia-coco-leve-190-g</t>
  </si>
  <si>
    <t xml:space="preserve">Gelo Saborizado Melancia</t>
  </si>
  <si>
    <t xml:space="preserve">520</t>
  </si>
  <si>
    <t xml:space="preserve">gelo-saborizado-morango-coco-leve-190-g</t>
  </si>
  <si>
    <t xml:space="preserve">Gelo Saborizado Morango</t>
  </si>
  <si>
    <t xml:space="preserve">522</t>
  </si>
  <si>
    <t xml:space="preserve">gelo-saborizado-sal-e-limao-cerveja-coco-leve-190-g</t>
  </si>
  <si>
    <t xml:space="preserve">Gelo Saborizado Sal e Limão (cerveja)</t>
  </si>
  <si>
    <t xml:space="preserve">524</t>
  </si>
  <si>
    <t xml:space="preserve">camarao-cinza-descascado-61-70-por-kg</t>
  </si>
  <si>
    <t xml:space="preserve">Camarão Cinza Descascado 61/70</t>
  </si>
  <si>
    <t xml:space="preserve">213</t>
  </si>
  <si>
    <t xml:space="preserve">polpa-de-acai-organico-pasteurizado-brasfrut-pacote-com-4-100-g</t>
  </si>
  <si>
    <t xml:space="preserve">Polpa de Açaí Orgânico Pasteurizado</t>
  </si>
  <si>
    <t xml:space="preserve">Pacote com 4 × 100 g</t>
  </si>
  <si>
    <t xml:space="preserve">50014</t>
  </si>
  <si>
    <t xml:space="preserve">7896014401239</t>
  </si>
  <si>
    <t xml:space="preserve">manjuba-inteira-pacote-400-g</t>
  </si>
  <si>
    <t xml:space="preserve">80623</t>
  </si>
  <si>
    <t xml:space="preserve">gelo-saborizado-xeque-mate-limao-e-gengibre-coco-leve-190-g</t>
  </si>
  <si>
    <t xml:space="preserve">Gelo Saborizado Xeque Mate (limão e gengibre)</t>
  </si>
  <si>
    <t xml:space="preserve">739</t>
  </si>
  <si>
    <t xml:space="preserve">gelo-saborizado-beats-gt-limao-gengibre-e-hortela-coco-leve-190-g</t>
  </si>
  <si>
    <t xml:space="preserve">Gelo Saborizado Beats GT (limão, gengibre e hortelã)</t>
  </si>
  <si>
    <t xml:space="preserve">721</t>
  </si>
  <si>
    <t xml:space="preserve">gelo-saborizado-uva-verde-coco-leve-190-g</t>
  </si>
  <si>
    <t xml:space="preserve">Gelo Saborizado Uva Verde</t>
  </si>
  <si>
    <t xml:space="preserve">722</t>
  </si>
  <si>
    <t xml:space="preserve">bolinho-de-bacalhau-pacote-11-300-g</t>
  </si>
  <si>
    <t xml:space="preserve">Pacote 11 × 300 g</t>
  </si>
  <si>
    <t xml:space="preserve">2874</t>
  </si>
  <si>
    <t xml:space="preserve">polpa-de-maracuja-brasfrut-pacote-1-02-kg-vendido-por-kg</t>
  </si>
  <si>
    <t xml:space="preserve">50099</t>
  </si>
  <si>
    <t xml:space="preserve">7896014400782</t>
  </si>
  <si>
    <t xml:space="preserve">carne-de-vieira-por-kg</t>
  </si>
  <si>
    <t xml:space="preserve">Carne de Vieira</t>
  </si>
  <si>
    <t xml:space="preserve">31012025</t>
  </si>
  <si>
    <t xml:space="preserve">gelo-saborizado-beats-senses-frutas-citricas-coco-leve-190-g</t>
  </si>
  <si>
    <t xml:space="preserve">Gelo Saborizado Beats Senses (frutas cítricas)</t>
  </si>
  <si>
    <t xml:space="preserve">740</t>
  </si>
  <si>
    <t xml:space="preserve">gelo-saborizado-beats-red-mix-limao-e-framboesa-coco-leve-190-g</t>
  </si>
  <si>
    <t xml:space="preserve">Gelo Saborizado Beats Red Mix (limão e framboesa)</t>
  </si>
  <si>
    <t xml:space="preserve">741</t>
  </si>
  <si>
    <t xml:space="preserve">robalo-inteiro-eviscerado-por-kg</t>
  </si>
  <si>
    <t xml:space="preserve">Robalo Inteiro Eviscerado</t>
  </si>
  <si>
    <t xml:space="preserve">0000301</t>
  </si>
  <si>
    <t xml:space="preserve">file-de-pescada-amarela-por-kg</t>
  </si>
  <si>
    <t xml:space="preserve">Filé de Pescada Amarela</t>
  </si>
  <si>
    <t xml:space="preserve">0002441</t>
  </si>
  <si>
    <t xml:space="preserve">camarao-cinza-inteiro-20-30-por-kg</t>
  </si>
  <si>
    <t xml:space="preserve">Camarão Cinza Inteiro 20/30</t>
  </si>
  <si>
    <t xml:space="preserve">000285</t>
  </si>
  <si>
    <t xml:space="preserve">polpa-de-graviola-brasfrut-pacote-com-4-1-02-kg</t>
  </si>
  <si>
    <t xml:space="preserve">Pacote com 4 × 1,02 kg</t>
  </si>
  <si>
    <t xml:space="preserve">10009</t>
  </si>
  <si>
    <t xml:space="preserve">7896014400744</t>
  </si>
  <si>
    <t xml:space="preserve">Sistema: '4X1,020GR' a R$ 35,00. Preço parece baixo para 4 kg. Conferir.</t>
  </si>
  <si>
    <t xml:space="preserve">bolinho-de-linguica-com-pimenta-biquinho-pacote-500-g</t>
  </si>
  <si>
    <t xml:space="preserve">Bolinho de Linguiça com Pimenta Biquinho</t>
  </si>
  <si>
    <t xml:space="preserve">120004</t>
  </si>
  <si>
    <t xml:space="preserve">bolinho-de-frango-cremoso-pacote-500-g</t>
  </si>
  <si>
    <t xml:space="preserve">Bolinho de Frango Cremoso</t>
  </si>
  <si>
    <t xml:space="preserve">140003</t>
  </si>
  <si>
    <t xml:space="preserve">isca-de-tilapia-pacote-500-g</t>
  </si>
  <si>
    <t xml:space="preserve">Isca de Tilápia</t>
  </si>
  <si>
    <t xml:space="preserve">140004</t>
  </si>
  <si>
    <t xml:space="preserve">bolinho-de-queijo-pacote-500-g</t>
  </si>
  <si>
    <t xml:space="preserve">Bolinho de Queijo</t>
  </si>
  <si>
    <t xml:space="preserve">140005</t>
  </si>
  <si>
    <t xml:space="preserve">petit-gateau-cacau-belga-cod-100-caixa-com-24-100-g</t>
  </si>
  <si>
    <t xml:space="preserve">Petit Gateau Cacau Belga (cód. 100)</t>
  </si>
  <si>
    <t xml:space="preserve">sobremesas</t>
  </si>
  <si>
    <t xml:space="preserve">Petit gateau e brownie</t>
  </si>
  <si>
    <t xml:space="preserve">Caixa com 24 × 100 g</t>
  </si>
  <si>
    <t xml:space="preserve">caixa</t>
  </si>
  <si>
    <t xml:space="preserve">100999</t>
  </si>
  <si>
    <t xml:space="preserve">petit-gateau-chocolate-cod-275-caixa-com-24-100-g</t>
  </si>
  <si>
    <t xml:space="preserve">Petit Gateau Chocolate (cód. 275)</t>
  </si>
  <si>
    <t xml:space="preserve">275999</t>
  </si>
  <si>
    <t xml:space="preserve">brownie-chocolate-com-nozes-cod-206-caixa-com-30-80-g</t>
  </si>
  <si>
    <t xml:space="preserve">Brownie Chocolate com Nozes (cód. 206)</t>
  </si>
  <si>
    <t xml:space="preserve">Caixa com 30 × 80 g</t>
  </si>
  <si>
    <t xml:space="preserve">206999</t>
  </si>
  <si>
    <t xml:space="preserve">petit-gateau-extra-cacau-cod-240-caixa-com-14-240-g</t>
  </si>
  <si>
    <t xml:space="preserve">Petit Gateau Extra Cacau (cód. 240)</t>
  </si>
  <si>
    <t xml:space="preserve">Caixa com 14 × 240 g</t>
  </si>
  <si>
    <t xml:space="preserve">240999</t>
  </si>
  <si>
    <t xml:space="preserve">petit-gateau-chocolate-cod-242-caixa-com-14-240-g</t>
  </si>
  <si>
    <t xml:space="preserve">Petit Gateau Chocolate (cód. 242)</t>
  </si>
  <si>
    <t xml:space="preserve">242999</t>
  </si>
  <si>
    <t xml:space="preserve">petit-gateau-cacau-belga-cod-86-caixa-com-40-80-g</t>
  </si>
  <si>
    <t xml:space="preserve">Petit Gateau Cacau Belga (cód. 86)</t>
  </si>
  <si>
    <t xml:space="preserve">Caixa com 40 × 80 g</t>
  </si>
  <si>
    <t xml:space="preserve">086999</t>
  </si>
  <si>
    <t xml:space="preserve">petit-gateau-chocolate-cod-183-caixa-com-40-80-g</t>
  </si>
  <si>
    <t xml:space="preserve">Petit Gateau Chocolate (cód. 183)</t>
  </si>
  <si>
    <t xml:space="preserve">183999</t>
  </si>
  <si>
    <t xml:space="preserve">petit-gateau-doce-de-leite-cod-480-caixa-com-24-100-g</t>
  </si>
  <si>
    <t xml:space="preserve">Petit Gateau Doce de Leite (cód. 480)</t>
  </si>
  <si>
    <t xml:space="preserve">480999</t>
  </si>
  <si>
    <t xml:space="preserve">brownie-chocolate-com-nozes-cod-216-caixa-com-14-240-g</t>
  </si>
  <si>
    <t xml:space="preserve">Brownie Chocolate com Nozes (cód. 216)</t>
  </si>
  <si>
    <t xml:space="preserve">216999</t>
  </si>
  <si>
    <t xml:space="preserve">petit-gateau-chocolate-cod-445-caixa-com-10-320-g</t>
  </si>
  <si>
    <t xml:space="preserve">Petit Gateau Chocolate (cód. 445)</t>
  </si>
  <si>
    <t xml:space="preserve">Caixa com 10 × 320 g</t>
  </si>
  <si>
    <t xml:space="preserve">445999</t>
  </si>
  <si>
    <t xml:space="preserve">petit-gateau-cacau-belga-cod-787-caixa-com-10-320-g</t>
  </si>
  <si>
    <t xml:space="preserve">Petit Gateau Cacau Belga (cód. 787)</t>
  </si>
  <si>
    <t xml:space="preserve">787999</t>
  </si>
  <si>
    <t xml:space="preserve">petit-gateau-doce-de-leite-cod-210-caixa-com-10-320-g</t>
  </si>
  <si>
    <t xml:space="preserve">Petit Gateau Doce de Leite (cód. 210)</t>
  </si>
  <si>
    <t xml:space="preserve">210999</t>
  </si>
  <si>
    <t xml:space="preserve">camarao-cinza-31-35-por-kg</t>
  </si>
  <si>
    <t xml:space="preserve">Camarão Cinza 31/35</t>
  </si>
  <si>
    <t xml:space="preserve">431999</t>
  </si>
  <si>
    <t xml:space="preserve">file-de-cambucu-por-kg</t>
  </si>
  <si>
    <t xml:space="preserve">302999</t>
  </si>
  <si>
    <t xml:space="preserve">polpa-de-abacaxi-canaa-pacote-com-10-100-g</t>
  </si>
  <si>
    <t xml:space="preserve">Canaã</t>
  </si>
  <si>
    <t xml:space="preserve">60001</t>
  </si>
  <si>
    <t xml:space="preserve">polpa-mista-de-abacaxi-e-hortela-canaa-pacote-com-10-100-g</t>
  </si>
  <si>
    <t xml:space="preserve">60025</t>
  </si>
  <si>
    <t xml:space="preserve">mandioca-cremosa-com-calabresa-pacote</t>
  </si>
  <si>
    <t xml:space="preserve">Mandioca Cremosa com Calabresa</t>
  </si>
  <si>
    <t xml:space="preserve">Pacote</t>
  </si>
  <si>
    <t xml:space="preserve">03072025</t>
  </si>
  <si>
    <t xml:space="preserve">pastelzinho-de-carne-pacote</t>
  </si>
  <si>
    <t xml:space="preserve">Pastelzinho de Carne</t>
  </si>
  <si>
    <t xml:space="preserve">03082025</t>
  </si>
  <si>
    <t xml:space="preserve">pastelzinho-de-queijo-pacote</t>
  </si>
  <si>
    <t xml:space="preserve">Pastelzinho de Queijo</t>
  </si>
  <si>
    <t xml:space="preserve">03092025</t>
  </si>
  <si>
    <t xml:space="preserve">polpa-de-abacaxi-nature-pacote-com-10-100-g</t>
  </si>
  <si>
    <t xml:space="preserve">00201</t>
  </si>
  <si>
    <t xml:space="preserve">polpa-de-maracuja-nature-pacote-com-10-100-g</t>
  </si>
  <si>
    <t xml:space="preserve">00202</t>
  </si>
  <si>
    <t xml:space="preserve">polpa-de-acerola-nature-pacote-com-10-100-g</t>
  </si>
  <si>
    <t xml:space="preserve">00203</t>
  </si>
  <si>
    <t xml:space="preserve">creme-de-acai-banana-e-guarana-brasfrut-pote-1-02-kg-caixa-com-6</t>
  </si>
  <si>
    <t xml:space="preserve">Creme de Açaí, Banana e Guaraná</t>
  </si>
  <si>
    <t xml:space="preserve">acai-cremes</t>
  </si>
  <si>
    <t xml:space="preserve">Cremes Brasfrut</t>
  </si>
  <si>
    <t xml:space="preserve">Pote 1,02 kg (caixa com 6)</t>
  </si>
  <si>
    <t xml:space="preserve">544544</t>
  </si>
  <si>
    <t xml:space="preserve">7896014401512</t>
  </si>
  <si>
    <t xml:space="preserve">Sistema vende em 'CX 06X1,02KG' mas o preço parece ser por pote. Conferir se é por pote ou por caixa.</t>
  </si>
  <si>
    <t xml:space="preserve">creme-de-acai-com-guarana-brasfrut-pote-1-02-kg-caixa-com-6</t>
  </si>
  <si>
    <t xml:space="preserve">Creme de Açaí com Guaraná</t>
  </si>
  <si>
    <t xml:space="preserve">00206</t>
  </si>
  <si>
    <t xml:space="preserve">7896014401505</t>
  </si>
  <si>
    <t xml:space="preserve">creme-de-acai-morango-e-guarana-brasfrut-pote-1-02-kg-caixa-com-6</t>
  </si>
  <si>
    <t xml:space="preserve">Creme de Açaí, Morango e Guaraná</t>
  </si>
  <si>
    <t xml:space="preserve">00207</t>
  </si>
  <si>
    <t xml:space="preserve">7896014401529</t>
  </si>
  <si>
    <t xml:space="preserve">creme-de-caja-brasfrut-pote-1-02-kg-caixa-com-6</t>
  </si>
  <si>
    <t xml:space="preserve">Creme de Cajá</t>
  </si>
  <si>
    <t xml:space="preserve">00208</t>
  </si>
  <si>
    <t xml:space="preserve">7896014401208</t>
  </si>
  <si>
    <t xml:space="preserve">creme-de-cupuacu-brasfrut-pote-1-02-kg-caixa-com-6</t>
  </si>
  <si>
    <t xml:space="preserve">Creme de Cupuaçu</t>
  </si>
  <si>
    <t xml:space="preserve">00209</t>
  </si>
  <si>
    <t xml:space="preserve">7896014401192</t>
  </si>
  <si>
    <t xml:space="preserve">creme-de-manga-brasfrut-pote-1-02-kg-caixa-com-6</t>
  </si>
  <si>
    <t xml:space="preserve">Creme de Manga</t>
  </si>
  <si>
    <t xml:space="preserve">00210</t>
  </si>
  <si>
    <t xml:space="preserve">7896014401888</t>
  </si>
  <si>
    <t xml:space="preserve">polpa-de-uva-brasfrut-pacote-1-02-kg-vendido-por-kg</t>
  </si>
  <si>
    <t xml:space="preserve">00212</t>
  </si>
  <si>
    <t xml:space="preserve">7896014400874</t>
  </si>
  <si>
    <t xml:space="preserve">kani-kama-mar-rio-pacote-250-g</t>
  </si>
  <si>
    <t xml:space="preserve">Mar-Rio</t>
  </si>
  <si>
    <t xml:space="preserve">214</t>
  </si>
  <si>
    <t xml:space="preserve">polpa-mista-de-abacaxi-e-hortela-nature-pacote-com-10-100-g</t>
  </si>
  <si>
    <t xml:space="preserve">00218</t>
  </si>
  <si>
    <t xml:space="preserve">polpa-de-frutas-vermelhas-brasfrut-pacote-com-12-100-g</t>
  </si>
  <si>
    <t xml:space="preserve">Polpa de Frutas Vermelhas</t>
  </si>
  <si>
    <t xml:space="preserve">00214</t>
  </si>
  <si>
    <t xml:space="preserve">7896014403462</t>
  </si>
  <si>
    <t xml:space="preserve">gelo-saborizado-white-horse-abacaxi-coco-leve-190-g</t>
  </si>
  <si>
    <t xml:space="preserve">Gelo Saborizado White Horse (abacaxi)</t>
  </si>
  <si>
    <t xml:space="preserve">6709</t>
  </si>
  <si>
    <t xml:space="preserve">polpa-de-cupuacu-brasfrut-pacote-1-02-kg-vendido-por-kg</t>
  </si>
  <si>
    <t xml:space="preserve">333333</t>
  </si>
  <si>
    <t xml:space="preserve">7896014400713</t>
  </si>
  <si>
    <t xml:space="preserve">bolinho-de-bacalhau-pacote</t>
  </si>
  <si>
    <t xml:space="preserve">131313</t>
  </si>
  <si>
    <t xml:space="preserve">lula-anel-por-kg</t>
  </si>
  <si>
    <t xml:space="preserve">Lula Anel</t>
  </si>
  <si>
    <t xml:space="preserve">252627</t>
  </si>
  <si>
    <t xml:space="preserve">gelo-saborizado-approve-amora-coco-leve-190-g</t>
  </si>
  <si>
    <t xml:space="preserve">Gelo Saborizado Approve (amora)</t>
  </si>
  <si>
    <t xml:space="preserve">514</t>
  </si>
  <si>
    <t xml:space="preserve">gelo-saborizado-energetico-bally-coco-leve-190-g</t>
  </si>
  <si>
    <t xml:space="preserve">Gelo Saborizado Energético Bally</t>
  </si>
  <si>
    <t xml:space="preserve">513</t>
  </si>
  <si>
    <t xml:space="preserve">camarao-cinza-empanado-pre-frito-recheado-por-kg</t>
  </si>
  <si>
    <t xml:space="preserve">Camarão Cinza Empanado Pré-frito Recheado</t>
  </si>
  <si>
    <t xml:space="preserve">2185</t>
  </si>
  <si>
    <t xml:space="preserve">gelo-ice-boss-ice-boss-unidade</t>
  </si>
  <si>
    <t xml:space="preserve">Gelo Ice Boss</t>
  </si>
  <si>
    <t xml:space="preserve">Gelo</t>
  </si>
  <si>
    <t xml:space="preserve">Ice Boss</t>
  </si>
  <si>
    <t xml:space="preserve">Unidade</t>
  </si>
  <si>
    <t xml:space="preserve">0500</t>
  </si>
  <si>
    <t xml:space="preserve">Sistema: unidade 'CX'. Conferir se o preço é por unidade.</t>
  </si>
  <si>
    <t xml:space="preserve">gelo-saborizado-beats-green-mix-frutas-tropicais-coco-leve-190-g</t>
  </si>
  <si>
    <t xml:space="preserve">Gelo Saborizado Beats Green Mix (frutas tropicais)</t>
  </si>
  <si>
    <t xml:space="preserve">742</t>
  </si>
  <si>
    <t xml:space="preserve">Itens dos catálogos dos fornecedores que NÃO estão na lista do sistema (ou estão com outro nome). Não vão para o site.</t>
  </si>
  <si>
    <t xml:space="preserve">Para vender algum deles, copie a linha para a aba Produtos, preencha preço e unidadeVenda e gere o id. Vários peixes daqui podem ser os mesmos do sistema com nome parecido.</t>
  </si>
  <si>
    <t xml:space="preserve">código do fornecedor</t>
  </si>
  <si>
    <t xml:space="preserve">1,02 kg</t>
  </si>
  <si>
    <t xml:space="preserve">7896014400683</t>
  </si>
  <si>
    <t xml:space="preserve">7896014400690</t>
  </si>
  <si>
    <t xml:space="preserve">7896014400850</t>
  </si>
  <si>
    <t xml:space="preserve">7896014400867</t>
  </si>
  <si>
    <t xml:space="preserve">Néctar de Abacaxi</t>
  </si>
  <si>
    <t xml:space="preserve">Néctar 200 ml</t>
  </si>
  <si>
    <t xml:space="preserve">200 ml</t>
  </si>
  <si>
    <t xml:space="preserve">7896014403202</t>
  </si>
  <si>
    <t xml:space="preserve">Néctar de Acerola</t>
  </si>
  <si>
    <t xml:space="preserve">7896014403165</t>
  </si>
  <si>
    <t xml:space="preserve">Néctar de Caju</t>
  </si>
  <si>
    <t xml:space="preserve">7896014403110</t>
  </si>
  <si>
    <t xml:space="preserve">Néctar de Goiaba</t>
  </si>
  <si>
    <t xml:space="preserve">7896014403219</t>
  </si>
  <si>
    <t xml:space="preserve">Néctar de Manga</t>
  </si>
  <si>
    <t xml:space="preserve">7896014403127</t>
  </si>
  <si>
    <t xml:space="preserve">Néctar de Umbu</t>
  </si>
  <si>
    <t xml:space="preserve">7896014403141</t>
  </si>
  <si>
    <t xml:space="preserve">Néctar de Uva</t>
  </si>
  <si>
    <t xml:space="preserve">7896014403226</t>
  </si>
  <si>
    <t xml:space="preserve">Néctar de Tangerina</t>
  </si>
  <si>
    <t xml:space="preserve">7896014403189</t>
  </si>
  <si>
    <t xml:space="preserve">Néctar de Misto de Cajá e Maçã</t>
  </si>
  <si>
    <t xml:space="preserve">7896014403233</t>
  </si>
  <si>
    <t xml:space="preserve">Néctar de Misto de Maracujá e Maçã</t>
  </si>
  <si>
    <t xml:space="preserve">7896014403240</t>
  </si>
  <si>
    <t xml:space="preserve">Frut Polpas</t>
  </si>
  <si>
    <t xml:space="preserve">100 g</t>
  </si>
  <si>
    <t xml:space="preserve">Amorango Congelado (morango e amora)</t>
  </si>
  <si>
    <t xml:space="preserve">Amoras Congeladas</t>
  </si>
  <si>
    <t xml:space="preserve">Polpa de Maracujá com Semente</t>
  </si>
  <si>
    <t xml:space="preserve">Açaí &amp; Frutas Vermelhas</t>
  </si>
  <si>
    <t xml:space="preserve">Açaí</t>
  </si>
  <si>
    <t xml:space="preserve">1,02 L</t>
  </si>
  <si>
    <t xml:space="preserve">Açaí Tradicional (com guaraná)</t>
  </si>
  <si>
    <t xml:space="preserve">Açaí &amp; Maracujá</t>
  </si>
  <si>
    <t xml:space="preserve">Açaí &amp; Leitíssimo Crocante</t>
  </si>
  <si>
    <t xml:space="preserve">Açaí Tradicional 5 L</t>
  </si>
  <si>
    <t xml:space="preserve">5 L</t>
  </si>
  <si>
    <t xml:space="preserve">Cremes Frut Polpas</t>
  </si>
  <si>
    <t xml:space="preserve">1,02 kg (1,3 L)</t>
  </si>
  <si>
    <t xml:space="preserve">Linha tradicional</t>
  </si>
  <si>
    <t xml:space="preserve">55 g</t>
  </si>
  <si>
    <t xml:space="preserve">Gelo Saborizado Vitamina de Frutas</t>
  </si>
  <si>
    <t xml:space="preserve">Gelo Saborizado Beats Energy Drink Tradicional</t>
  </si>
  <si>
    <t xml:space="preserve">Linha especial</t>
  </si>
  <si>
    <t xml:space="preserve">Gelo Saborizado Beats Energy Drink Morango</t>
  </si>
  <si>
    <t xml:space="preserve">Gelo Saborizado Beats Energy Drink Melancia</t>
  </si>
  <si>
    <t xml:space="preserve">Gelo Saborizado Beats Energy Drink Blue</t>
  </si>
  <si>
    <t xml:space="preserve">Gelo Saborizado Xeque Mate (limão com limar)</t>
  </si>
  <si>
    <t xml:space="preserve">Gelo Saborizado White Horse Energy Drink</t>
  </si>
  <si>
    <t xml:space="preserve">Gelo Saborizado Baly Tradicional</t>
  </si>
  <si>
    <t xml:space="preserve">Gelo Saborizado Amore</t>
  </si>
  <si>
    <t xml:space="preserve">Brownie Bites Chocolate Branco</t>
  </si>
  <si>
    <t xml:space="preserve">Sobremesas</t>
  </si>
  <si>
    <t xml:space="preserve">Kaffinée</t>
  </si>
  <si>
    <t xml:space="preserve">219</t>
  </si>
  <si>
    <t xml:space="preserve">Brownie Bites Chocolate ao Leite</t>
  </si>
  <si>
    <t xml:space="preserve">217</t>
  </si>
  <si>
    <t xml:space="preserve">Torta Duo Chocolate</t>
  </si>
  <si>
    <t xml:space="preserve">200 g (2 un. de 100 g)</t>
  </si>
  <si>
    <t xml:space="preserve">404</t>
  </si>
  <si>
    <t xml:space="preserve">Torta de Chocolate</t>
  </si>
  <si>
    <t xml:space="preserve">406</t>
  </si>
  <si>
    <t xml:space="preserve">Consultar</t>
  </si>
  <si>
    <t xml:space="preserve">Bolinho de Frango com Catupiry</t>
  </si>
  <si>
    <t xml:space="preserve">Casquinha de Siri ou de Tilápia</t>
  </si>
  <si>
    <t xml:space="preserve">Bolinho de Arroz com Queijo</t>
  </si>
  <si>
    <t xml:space="preserve">Disquinho de Carne</t>
  </si>
  <si>
    <t xml:space="preserve">Torresmo</t>
  </si>
  <si>
    <t xml:space="preserve">Crock de Tilápia</t>
  </si>
  <si>
    <t xml:space="preserve">Mandioca Cremosa Tradicional com Calabresa à Salsa</t>
  </si>
  <si>
    <t xml:space="preserve">BABAO INTEIRO -3</t>
  </si>
  <si>
    <t xml:space="preserve">Peixes de couro</t>
  </si>
  <si>
    <t xml:space="preserve">CenterFish</t>
  </si>
  <si>
    <t xml:space="preserve">230</t>
  </si>
  <si>
    <t xml:space="preserve">BABAO POSTAS GRANEL</t>
  </si>
  <si>
    <t xml:space="preserve">275</t>
  </si>
  <si>
    <t xml:space="preserve">BARBADO INTEIRO COM CABEÇA 700/1000</t>
  </si>
  <si>
    <t xml:space="preserve">6</t>
  </si>
  <si>
    <t xml:space="preserve">DOURADA INTEIRA -3</t>
  </si>
  <si>
    <t xml:space="preserve">564</t>
  </si>
  <si>
    <t xml:space="preserve">DOURADA POSTAS -3 GRANEL</t>
  </si>
  <si>
    <t xml:space="preserve">568</t>
  </si>
  <si>
    <t xml:space="preserve">FILHOTE INTEIRO -3</t>
  </si>
  <si>
    <t xml:space="preserve">712</t>
  </si>
  <si>
    <t xml:space="preserve">FILHOTE POSTA -3 GRANEL</t>
  </si>
  <si>
    <t xml:space="preserve">61</t>
  </si>
  <si>
    <t xml:space="preserve">JAU INTEIRO</t>
  </si>
  <si>
    <t xml:space="preserve">636</t>
  </si>
  <si>
    <t xml:space="preserve">JAU POSTAS GRANEL</t>
  </si>
  <si>
    <t xml:space="preserve">412</t>
  </si>
  <si>
    <t xml:space="preserve">JUNDIA EVISCERADO C/ CABEÇA</t>
  </si>
  <si>
    <t xml:space="preserve">549</t>
  </si>
  <si>
    <t xml:space="preserve">JUNDIA POSTAS GRANEL</t>
  </si>
  <si>
    <t xml:space="preserve">MANDI INTEIRO RESFRIADO</t>
  </si>
  <si>
    <t xml:space="preserve">11</t>
  </si>
  <si>
    <t xml:space="preserve">MANDIRA INTEIRO</t>
  </si>
  <si>
    <t xml:space="preserve">78</t>
  </si>
  <si>
    <t xml:space="preserve">MANDIRA POSTAS GRANEL</t>
  </si>
  <si>
    <t xml:space="preserve">260</t>
  </si>
  <si>
    <t xml:space="preserve">MANDUBE INTEIRO COM CABEÇA 800/1500</t>
  </si>
  <si>
    <t xml:space="preserve">357</t>
  </si>
  <si>
    <t xml:space="preserve">MAPARA INTEIRO M</t>
  </si>
  <si>
    <t xml:space="preserve">104</t>
  </si>
  <si>
    <t xml:space="preserve">MAPARA INTEIRO G</t>
  </si>
  <si>
    <t xml:space="preserve">138</t>
  </si>
  <si>
    <t xml:space="preserve">PINTADO POSTA -3 GRANEL</t>
  </si>
  <si>
    <t xml:space="preserve">661</t>
  </si>
  <si>
    <t xml:space="preserve">PINTADO POSTA 3/5 GRANEL</t>
  </si>
  <si>
    <t xml:space="preserve">651</t>
  </si>
  <si>
    <t xml:space="preserve">PINTADO INTEIRO SEM CABEÇA -3KG</t>
  </si>
  <si>
    <t xml:space="preserve">128</t>
  </si>
  <si>
    <t xml:space="preserve">PINTADO INTEIRO SEM CABEÇA 3/5KG</t>
  </si>
  <si>
    <t xml:space="preserve">656</t>
  </si>
  <si>
    <t xml:space="preserve">PINTADO INTEIRO COM CABEÇA P -2KG</t>
  </si>
  <si>
    <t xml:space="preserve">271</t>
  </si>
  <si>
    <t xml:space="preserve">PIRAMUTABA INTEIRA OG</t>
  </si>
  <si>
    <t xml:space="preserve">247</t>
  </si>
  <si>
    <t xml:space="preserve">PIRAMUTABA INTEIRA G</t>
  </si>
  <si>
    <t xml:space="preserve">734</t>
  </si>
  <si>
    <t xml:space="preserve">PIRAMUTABA INTEIRA M</t>
  </si>
  <si>
    <t xml:space="preserve">76</t>
  </si>
  <si>
    <t xml:space="preserve">PIRAMUTABA INTEIRA P</t>
  </si>
  <si>
    <t xml:space="preserve">118</t>
  </si>
  <si>
    <t xml:space="preserve">PIRAMUTABA INTEIRA O SEM PELE</t>
  </si>
  <si>
    <t xml:space="preserve">735</t>
  </si>
  <si>
    <t xml:space="preserve">PIRAMUTABA POSTAS P GRANEL</t>
  </si>
  <si>
    <t xml:space="preserve">142</t>
  </si>
  <si>
    <t xml:space="preserve">PIRAMUTABA POSTAS M GRANEL</t>
  </si>
  <si>
    <t xml:space="preserve">663</t>
  </si>
  <si>
    <t xml:space="preserve">PIRARARA INTEIRO</t>
  </si>
  <si>
    <t xml:space="preserve">140</t>
  </si>
  <si>
    <t xml:space="preserve">PIRARARA POSTAS GRANEL</t>
  </si>
  <si>
    <t xml:space="preserve">662</t>
  </si>
  <si>
    <t xml:space="preserve">SALMAO POSTAS G</t>
  </si>
  <si>
    <t xml:space="preserve">410</t>
  </si>
  <si>
    <t xml:space="preserve">SALMAO POSTAS P</t>
  </si>
  <si>
    <t xml:space="preserve">62</t>
  </si>
  <si>
    <t xml:space="preserve">SALMAO INTEIRO SEM CABEÇA 3000/4000</t>
  </si>
  <si>
    <t xml:space="preserve">409</t>
  </si>
  <si>
    <t xml:space="preserve">SALMAOTRUTA INTEIRO S/C 500/1000</t>
  </si>
  <si>
    <t xml:space="preserve">241</t>
  </si>
  <si>
    <t xml:space="preserve">FILE DE ANCHOVA COM PELE</t>
  </si>
  <si>
    <t xml:space="preserve">Filés a granel</t>
  </si>
  <si>
    <t xml:space="preserve">434</t>
  </si>
  <si>
    <t xml:space="preserve">FILE DE ARRAIA GRANEL</t>
  </si>
  <si>
    <t xml:space="preserve">188</t>
  </si>
  <si>
    <t xml:space="preserve">FILE DE ARRAIA INTERFOLIADO</t>
  </si>
  <si>
    <t xml:space="preserve">580</t>
  </si>
  <si>
    <t xml:space="preserve">FILE DE ARUANA INTERFOLIADO</t>
  </si>
  <si>
    <t xml:space="preserve">581</t>
  </si>
  <si>
    <t xml:space="preserve">FILE DE ARUANA GRANEL</t>
  </si>
  <si>
    <t xml:space="preserve">16</t>
  </si>
  <si>
    <t xml:space="preserve">FILE DE CAMBUCU GRANEL</t>
  </si>
  <si>
    <t xml:space="preserve">193</t>
  </si>
  <si>
    <t xml:space="preserve">FILE DE CAMBUCU INTERFOLIADO</t>
  </si>
  <si>
    <t xml:space="preserve">587</t>
  </si>
  <si>
    <t xml:space="preserve">FILE DE DOURADA INTERFOLIADA</t>
  </si>
  <si>
    <t xml:space="preserve">52</t>
  </si>
  <si>
    <t xml:space="preserve">FILE DE JAU GRANEL</t>
  </si>
  <si>
    <t xml:space="preserve">521</t>
  </si>
  <si>
    <t xml:space="preserve">FILE DE MANDIRA INTERFOLIADO</t>
  </si>
  <si>
    <t xml:space="preserve">88</t>
  </si>
  <si>
    <t xml:space="preserve">FILE DE MANDIRA GRANEL</t>
  </si>
  <si>
    <t xml:space="preserve">123</t>
  </si>
  <si>
    <t xml:space="preserve">FILE DE MAPARA INTERFOLIADO</t>
  </si>
  <si>
    <t xml:space="preserve">482</t>
  </si>
  <si>
    <t xml:space="preserve">FILE DE MAPARA GRANEL</t>
  </si>
  <si>
    <t xml:space="preserve">FILE DE MERLUZA GRANEL</t>
  </si>
  <si>
    <t xml:space="preserve">FILE DE MERLUZA INTERFOLIADA</t>
  </si>
  <si>
    <t xml:space="preserve">FILE DE PANGA S/O GRANEL</t>
  </si>
  <si>
    <t xml:space="preserve">469</t>
  </si>
  <si>
    <t xml:space="preserve">FILE DE PANGA SUPER PREMIUM INTER</t>
  </si>
  <si>
    <t xml:space="preserve">505</t>
  </si>
  <si>
    <t xml:space="preserve">FILE DE PANGA C/O INTERFOLIADO</t>
  </si>
  <si>
    <t xml:space="preserve">322</t>
  </si>
  <si>
    <t xml:space="preserve">FILE DE PANGA C/O GRANEL</t>
  </si>
  <si>
    <t xml:space="preserve">352</t>
  </si>
  <si>
    <t xml:space="preserve">FILE DE PESCADA AMARELA GRANEL</t>
  </si>
  <si>
    <t xml:space="preserve">162</t>
  </si>
  <si>
    <t xml:space="preserve">FILE DE PESCADA AMARELA INTER</t>
  </si>
  <si>
    <t xml:space="preserve">605</t>
  </si>
  <si>
    <t xml:space="preserve">FILE DE PERCAAU GRANEL</t>
  </si>
  <si>
    <t xml:space="preserve">63</t>
  </si>
  <si>
    <t xml:space="preserve">FILE DE PINTADO GRANEL C/ IDENTIFICA</t>
  </si>
  <si>
    <t xml:space="preserve">609</t>
  </si>
  <si>
    <t xml:space="preserve">FILE DE PINTADO P/ INTERFOLIADO</t>
  </si>
  <si>
    <t xml:space="preserve">484</t>
  </si>
  <si>
    <t xml:space="preserve">FILE DE PIRARARA GRANEL</t>
  </si>
  <si>
    <t xml:space="preserve">116</t>
  </si>
  <si>
    <t xml:space="preserve">FILE DE PIRARUCU GRANEL</t>
  </si>
  <si>
    <t xml:space="preserve">154</t>
  </si>
  <si>
    <t xml:space="preserve">FILE DE PIRARUCU INTERFOLIADO</t>
  </si>
  <si>
    <t xml:space="preserve">751</t>
  </si>
  <si>
    <t xml:space="preserve">FILE DE PIRARUCU CUBOS</t>
  </si>
  <si>
    <t xml:space="preserve">670</t>
  </si>
  <si>
    <t xml:space="preserve">FILE DE POLACA ALASKA</t>
  </si>
  <si>
    <t xml:space="preserve">350</t>
  </si>
  <si>
    <t xml:space="preserve">LOMBO DE ATUM VACUO</t>
  </si>
  <si>
    <t xml:space="preserve">438</t>
  </si>
  <si>
    <t xml:space="preserve">LOMBO DE PIRARUCU GRANEL</t>
  </si>
  <si>
    <t xml:space="preserve">753</t>
  </si>
  <si>
    <t xml:space="preserve">LOMBO DE PIRARUCU INTERFOLIADO</t>
  </si>
  <si>
    <t xml:space="preserve">754</t>
  </si>
  <si>
    <t xml:space="preserve">LOMBO DE PINTADO GRANEL</t>
  </si>
  <si>
    <t xml:space="preserve">183</t>
  </si>
  <si>
    <t xml:space="preserve">LOMBO DE PREGO GRANEL</t>
  </si>
  <si>
    <t xml:space="preserve">405</t>
  </si>
  <si>
    <t xml:space="preserve">FILE DE ROBALO G INTERFOLIADO</t>
  </si>
  <si>
    <t xml:space="preserve">100</t>
  </si>
  <si>
    <t xml:space="preserve">FILE DE LINGUADO P NATUBRAS</t>
  </si>
  <si>
    <t xml:space="preserve">80</t>
  </si>
  <si>
    <t xml:space="preserve">FILE DE SALMAO PREMIUM</t>
  </si>
  <si>
    <t xml:space="preserve">263</t>
  </si>
  <si>
    <t xml:space="preserve">FILE DE SALMAO P</t>
  </si>
  <si>
    <t xml:space="preserve">FILE DE SALMAO/TRUTA P</t>
  </si>
  <si>
    <t xml:space="preserve">FILE DE SALMAO PREMIUM DRENADO</t>
  </si>
  <si>
    <t xml:space="preserve">493</t>
  </si>
  <si>
    <t xml:space="preserve">FILE DE SARDINHA ESPALMADA</t>
  </si>
  <si>
    <t xml:space="preserve">242</t>
  </si>
  <si>
    <t xml:space="preserve">FILE DE TILAPIA COM PELE</t>
  </si>
  <si>
    <t xml:space="preserve">108</t>
  </si>
  <si>
    <t xml:space="preserve">FILE DE TILAPIA DRENADA</t>
  </si>
  <si>
    <t xml:space="preserve">50</t>
  </si>
  <si>
    <t xml:space="preserve">FILE DE TILAPIA INTERFOLIADA</t>
  </si>
  <si>
    <t xml:space="preserve">457</t>
  </si>
  <si>
    <t xml:space="preserve">FILE DE TILAPIA GRANEL</t>
  </si>
  <si>
    <t xml:space="preserve">495</t>
  </si>
  <si>
    <t xml:space="preserve">FILE DE URTINGA INTERFOLIADA</t>
  </si>
  <si>
    <t xml:space="preserve">166</t>
  </si>
  <si>
    <t xml:space="preserve">FILE DE URTINGA GRANEL</t>
  </si>
  <si>
    <t xml:space="preserve">CARANHA BANDA S/ ESPINHO E CABEÇA</t>
  </si>
  <si>
    <t xml:space="preserve">Peixes de escama</t>
  </si>
  <si>
    <t xml:space="preserve">639</t>
  </si>
  <si>
    <t xml:space="preserve">COSTELA DE CARANHA INTERFOLEADA</t>
  </si>
  <si>
    <t xml:space="preserve">233</t>
  </si>
  <si>
    <t xml:space="preserve">CARANHA COSTELA GRANEL</t>
  </si>
  <si>
    <t xml:space="preserve">504</t>
  </si>
  <si>
    <t xml:space="preserve">CARANHA COSTELA SEM ESPINHO</t>
  </si>
  <si>
    <t xml:space="preserve">693</t>
  </si>
  <si>
    <t xml:space="preserve">CARANHA S/ ESCAMA</t>
  </si>
  <si>
    <t xml:space="preserve">695</t>
  </si>
  <si>
    <t xml:space="preserve">CARANHA S/ ESPINHO</t>
  </si>
  <si>
    <t xml:space="preserve">374</t>
  </si>
  <si>
    <t xml:space="preserve">COSTELA DE TILAPIA GRANEL</t>
  </si>
  <si>
    <t xml:space="preserve">748</t>
  </si>
  <si>
    <t xml:space="preserve">COSTELA DE TILAPIA INTERFOLEADA</t>
  </si>
  <si>
    <t xml:space="preserve">766</t>
  </si>
  <si>
    <t xml:space="preserve">LAMBARI PCT 500GR COMUM</t>
  </si>
  <si>
    <t xml:space="preserve">391</t>
  </si>
  <si>
    <t xml:space="preserve">LAMBARI PCT 500GR RABO VERMELHO</t>
  </si>
  <si>
    <t xml:space="preserve">21</t>
  </si>
  <si>
    <t xml:space="preserve">PACU CO FRESCO</t>
  </si>
  <si>
    <t xml:space="preserve">51</t>
  </si>
  <si>
    <t xml:space="preserve">PORQUINHO CASCUDINHO SEM CABEÇA</t>
  </si>
  <si>
    <t xml:space="preserve">26</t>
  </si>
  <si>
    <t xml:space="preserve">PIAU ARACU INTEIRO</t>
  </si>
  <si>
    <t xml:space="preserve">281</t>
  </si>
  <si>
    <t xml:space="preserve">SALMAO COHO INTEIRO SEM CABEÇA 8/10</t>
  </si>
  <si>
    <t xml:space="preserve">SARDINHA ORIGINAL EVISCERADA S/C</t>
  </si>
  <si>
    <t xml:space="preserve">283</t>
  </si>
  <si>
    <t xml:space="preserve">SARDINHA ORIGINAL INTEIRA 8/10</t>
  </si>
  <si>
    <t xml:space="preserve">22</t>
  </si>
  <si>
    <t xml:space="preserve">TAINHA EVISCERADA 300GR</t>
  </si>
  <si>
    <t xml:space="preserve">157</t>
  </si>
  <si>
    <t xml:space="preserve">TRAIRA EVISCERADA 500/700GR</t>
  </si>
  <si>
    <t xml:space="preserve">48</t>
  </si>
  <si>
    <t xml:space="preserve">TRUTA INTEIRA SEM CABEÇA 500/1000</t>
  </si>
  <si>
    <t xml:space="preserve">TUCUNARE GG 2000UP</t>
  </si>
  <si>
    <t xml:space="preserve">17</t>
  </si>
  <si>
    <t xml:space="preserve">TUCUNARE G 800/2000GR</t>
  </si>
  <si>
    <t xml:space="preserve">105</t>
  </si>
  <si>
    <t xml:space="preserve">TUCUNARE M 500/800GR</t>
  </si>
  <si>
    <t xml:space="preserve">330</t>
  </si>
  <si>
    <t xml:space="preserve">TUCUNARE P 300/400GR</t>
  </si>
  <si>
    <t xml:space="preserve">144</t>
  </si>
  <si>
    <t xml:space="preserve">CAMARAO 7 BARRAS G PCT 500GR</t>
  </si>
  <si>
    <t xml:space="preserve">Peixes embalados</t>
  </si>
  <si>
    <t xml:space="preserve">182</t>
  </si>
  <si>
    <t xml:space="preserve">CAMARAO ROSA G PCT 500GR</t>
  </si>
  <si>
    <t xml:space="preserve">255</t>
  </si>
  <si>
    <t xml:space="preserve">CAMARAO ROSA GG PCT 500GR</t>
  </si>
  <si>
    <t xml:space="preserve">257</t>
  </si>
  <si>
    <t xml:space="preserve">CAMARAO VERMI M PCT 500GR</t>
  </si>
  <si>
    <t xml:space="preserve">535</t>
  </si>
  <si>
    <t xml:space="preserve">CAMARAO VERMELHO G PCT 500GR</t>
  </si>
  <si>
    <t xml:space="preserve">554</t>
  </si>
  <si>
    <t xml:space="preserve">DOURADA POSTAS PCT 700GR</t>
  </si>
  <si>
    <t xml:space="preserve">FILE DE JAU PCT 500GR</t>
  </si>
  <si>
    <t xml:space="preserve">563</t>
  </si>
  <si>
    <t xml:space="preserve">FILE DE MAPARA PCT 500GR</t>
  </si>
  <si>
    <t xml:space="preserve">58</t>
  </si>
  <si>
    <t xml:space="preserve">FILE DE MERLUZA PCT 500GR</t>
  </si>
  <si>
    <t xml:space="preserve">478</t>
  </si>
  <si>
    <t xml:space="preserve">FILE DE PESCADA PCT 500GR</t>
  </si>
  <si>
    <t xml:space="preserve">603</t>
  </si>
  <si>
    <t xml:space="preserve">FILE DE PINTADO PCT 500GR</t>
  </si>
  <si>
    <t xml:space="preserve">FILE DE SALMAO PCT 500GR</t>
  </si>
  <si>
    <t xml:space="preserve">FILE DE TILAPIA PCT 800GR</t>
  </si>
  <si>
    <t xml:space="preserve">JAU POSTAS PCT 700GR</t>
  </si>
  <si>
    <t xml:space="preserve">622</t>
  </si>
  <si>
    <t xml:space="preserve">PINTADO POSTAS PCT 700GR</t>
  </si>
  <si>
    <t xml:space="preserve">115</t>
  </si>
  <si>
    <t xml:space="preserve">PIRAMUTABA POSTAS PCT 700GR</t>
  </si>
  <si>
    <t xml:space="preserve">24</t>
  </si>
  <si>
    <t xml:space="preserve">PIRARARA POSTAS PCT 700GR</t>
  </si>
  <si>
    <t xml:space="preserve">79</t>
  </si>
  <si>
    <t xml:space="preserve">COSTELA DE CARANHA PCT 700GR</t>
  </si>
  <si>
    <t xml:space="preserve">148</t>
  </si>
  <si>
    <t xml:space="preserve">COSTELA DE TILAPIA PCT 700GR</t>
  </si>
  <si>
    <t xml:space="preserve">688</t>
  </si>
  <si>
    <t xml:space="preserve">CARANHA INTEIRA EMBALADO</t>
  </si>
  <si>
    <t xml:space="preserve">749</t>
  </si>
  <si>
    <t xml:space="preserve">PINTADO INTEIRO CC EMBALADO</t>
  </si>
  <si>
    <t xml:space="preserve">14</t>
  </si>
  <si>
    <t xml:space="preserve">MAPARA POSTA PCT 700GR</t>
  </si>
  <si>
    <t xml:space="preserve">13</t>
  </si>
  <si>
    <t xml:space="preserve">MANDIRA POSTA PCT 700GR</t>
  </si>
  <si>
    <t xml:space="preserve">94</t>
  </si>
  <si>
    <t xml:space="preserve">SARDINHA EVISCERADA PCT 700GR</t>
  </si>
  <si>
    <t xml:space="preserve">353</t>
  </si>
  <si>
    <t xml:space="preserve">BACALHAU LOMBO SP CADUS MORHUA</t>
  </si>
  <si>
    <t xml:space="preserve">Bacalhau</t>
  </si>
  <si>
    <t xml:space="preserve">422</t>
  </si>
  <si>
    <t xml:space="preserve">BACALHAU LOMBO SP MACRO 7 MARES</t>
  </si>
  <si>
    <t xml:space="preserve">539</t>
  </si>
  <si>
    <t xml:space="preserve">BACALHAU LOMBO SEM PELE MACRO</t>
  </si>
  <si>
    <t xml:space="preserve">467</t>
  </si>
  <si>
    <t xml:space="preserve">BACALHAU DESFIADO PCT 5KG</t>
  </si>
  <si>
    <t xml:space="preserve">547</t>
  </si>
  <si>
    <t xml:space="preserve">BACALHAU DESFIADO PCT 400GR</t>
  </si>
  <si>
    <t xml:space="preserve">546</t>
  </si>
  <si>
    <t xml:space="preserve">BACALHAU DESFIADO CADUS PCT 500GR</t>
  </si>
  <si>
    <t xml:space="preserve">389</t>
  </si>
  <si>
    <t xml:space="preserve">BACALHAU SALGADO PORTO 11/15</t>
  </si>
  <si>
    <t xml:space="preserve">185</t>
  </si>
  <si>
    <t xml:space="preserve">BACALHAU SALGADO SAITHE 7/9</t>
  </si>
  <si>
    <t xml:space="preserve">65</t>
  </si>
  <si>
    <t xml:space="preserve">FILE DE BACALHAU SAITHE 2000UP</t>
  </si>
  <si>
    <t xml:space="preserve">778</t>
  </si>
  <si>
    <t xml:space="preserve">FILE DE BACALHAU SAITHE 1500/2000GR</t>
  </si>
  <si>
    <t xml:space="preserve">583</t>
  </si>
  <si>
    <t xml:space="preserve">FILE DE BACALHAU SAITHE 1000/1500GR</t>
  </si>
  <si>
    <t xml:space="preserve">124</t>
  </si>
  <si>
    <t xml:space="preserve">BACALHAU LOMBO MACRO 400/900GR</t>
  </si>
  <si>
    <t xml:space="preserve">442</t>
  </si>
  <si>
    <t xml:space="preserve">BOLINHO DE BACALHAU PCT 300GR</t>
  </si>
  <si>
    <t xml:space="preserve">548</t>
  </si>
  <si>
    <t xml:space="preserve">CAMARAO 7 BARRAS G PCT 300/400</t>
  </si>
  <si>
    <t xml:space="preserve">Camarão e frutos do mar</t>
  </si>
  <si>
    <t xml:space="preserve">CAMARAO 7 BARRAS IQF G 150/300</t>
  </si>
  <si>
    <t xml:space="preserve">550</t>
  </si>
  <si>
    <t xml:space="preserve">CAMARAO CINZA GRANEL 41/50 S/C</t>
  </si>
  <si>
    <t xml:space="preserve">CAMARAO CINZA GRANEL 51/60 S/C</t>
  </si>
  <si>
    <t xml:space="preserve">370</t>
  </si>
  <si>
    <t xml:space="preserve">CAMARAO CINZA GRANEL 71/90 S/C</t>
  </si>
  <si>
    <t xml:space="preserve">220</t>
  </si>
  <si>
    <t xml:space="preserve">CAMARAO CINZA GRANEL EVISC 51/60</t>
  </si>
  <si>
    <t xml:space="preserve">373</t>
  </si>
  <si>
    <t xml:space="preserve">CAMARAO RIO GRANDE LIMPO 80/100</t>
  </si>
  <si>
    <t xml:space="preserve">191</t>
  </si>
  <si>
    <t xml:space="preserve">CAMARAO EVISCERADO 61/70</t>
  </si>
  <si>
    <t xml:space="preserve">168</t>
  </si>
  <si>
    <t xml:space="preserve">CAMARAO VANNAMEI EVISCERADO 60/80</t>
  </si>
  <si>
    <t xml:space="preserve">379</t>
  </si>
  <si>
    <t xml:space="preserve">CAMARAO ROSA INTEIRO 61/70</t>
  </si>
  <si>
    <t xml:space="preserve">294</t>
  </si>
  <si>
    <t xml:space="preserve">CAMARAO ROSA 51/60 COLINHA</t>
  </si>
  <si>
    <t xml:space="preserve">364</t>
  </si>
  <si>
    <t xml:space="preserve">CAMARAO ROSA 31/60 COLINHA</t>
  </si>
  <si>
    <t xml:space="preserve">363</t>
  </si>
  <si>
    <t xml:space="preserve">CAMARAO ROSA 16/20 COLINHA</t>
  </si>
  <si>
    <t xml:space="preserve">367</t>
  </si>
  <si>
    <t xml:space="preserve">CAMARAO VERMELHO 31/40 COLINHA</t>
  </si>
  <si>
    <t xml:space="preserve">CAMARAO VERMELHO 21/30 COLINHA</t>
  </si>
  <si>
    <t xml:space="preserve">189</t>
  </si>
  <si>
    <t xml:space="preserve">CAMARAO VERMELHO INTEIRO 10/20</t>
  </si>
  <si>
    <t xml:space="preserve">CAMARAO VANNAMEI 21/25 COLINHA</t>
  </si>
  <si>
    <t xml:space="preserve">395</t>
  </si>
  <si>
    <t xml:space="preserve">KANI-KAMA</t>
  </si>
  <si>
    <t xml:space="preserve">383</t>
  </si>
  <si>
    <t xml:space="preserve">PAEJA CENTER FISH</t>
  </si>
  <si>
    <t xml:space="preserve">497</t>
  </si>
  <si>
    <t xml:space="preserve">LULA ANEIS DRENADA CX C/ 10KG</t>
  </si>
  <si>
    <t xml:space="preserve">84</t>
  </si>
  <si>
    <t xml:space="preserve">LULA ANEIS GRANEL PCT 2KG</t>
  </si>
  <si>
    <t xml:space="preserve">161</t>
  </si>
  <si>
    <t xml:space="preserve">LAGOSTIM INTEIRO</t>
  </si>
  <si>
    <t xml:space="preserve">206</t>
  </si>
  <si>
    <t xml:space="preserve">MEXILHAO LIMPO</t>
  </si>
  <si>
    <t xml:space="preserve">55</t>
  </si>
  <si>
    <t xml:space="preserve">MEXILHAO MEIA CONCHA</t>
  </si>
  <si>
    <t xml:space="preserve">345</t>
  </si>
  <si>
    <t xml:space="preserve">TENTACULOS DE POLVO GRANEL</t>
  </si>
  <si>
    <t xml:space="preserve">287</t>
  </si>
  <si>
    <t xml:space="preserve">TENTACULOS DE POLVO INTEIRO</t>
  </si>
  <si>
    <t xml:space="preserve">297</t>
  </si>
  <si>
    <t xml:space="preserve">CARNE DE SIRI MISTA</t>
  </si>
  <si>
    <t xml:space="preserve">72</t>
  </si>
  <si>
    <t xml:space="preserve">POLVO INTEIRO DRENADO 800/1200</t>
  </si>
  <si>
    <t xml:space="preserve">298</t>
  </si>
  <si>
    <t xml:space="preserve">CAMARAO 7 BARRAS 300UP</t>
  </si>
  <si>
    <t xml:space="preserve">Natubras (camarão, lula e outros)</t>
  </si>
  <si>
    <t xml:space="preserve">Natubras</t>
  </si>
  <si>
    <t xml:space="preserve">28</t>
  </si>
  <si>
    <t xml:space="preserve">CAMARAO VANNAMEI 1521</t>
  </si>
  <si>
    <t xml:space="preserve">424</t>
  </si>
  <si>
    <t xml:space="preserve">CAMARAO VANNAMEI 1541</t>
  </si>
  <si>
    <t xml:space="preserve">301</t>
  </si>
  <si>
    <t xml:space="preserve">CAMARAO VANNAMEI 1561</t>
  </si>
  <si>
    <t xml:space="preserve">393</t>
  </si>
  <si>
    <t xml:space="preserve">CAMARAO VANNAMEI 1581</t>
  </si>
  <si>
    <t xml:space="preserve">202</t>
  </si>
  <si>
    <t xml:space="preserve">CAMARAO ROSA 200/300 721</t>
  </si>
  <si>
    <t xml:space="preserve">452</t>
  </si>
  <si>
    <t xml:space="preserve">CAMARAO ROSA 41/50 COLINHA 344</t>
  </si>
  <si>
    <t xml:space="preserve">99</t>
  </si>
  <si>
    <t xml:space="preserve">CAMARAO ROSA 31/40 COLINHA 364</t>
  </si>
  <si>
    <t xml:space="preserve">190</t>
  </si>
  <si>
    <t xml:space="preserve">CAMARAO ROSA 21/30 COLINHA 384</t>
  </si>
  <si>
    <t xml:space="preserve">752</t>
  </si>
  <si>
    <t xml:space="preserve">CAMARAO ROSA 16/20 COLINHA 394</t>
  </si>
  <si>
    <t xml:space="preserve">453</t>
  </si>
  <si>
    <t xml:space="preserve">CAMARAO VAN 41/60 COLINHA 1564</t>
  </si>
  <si>
    <t xml:space="preserve">441</t>
  </si>
  <si>
    <t xml:space="preserve">CAMARAO VERMELHO 21/30 COLINHA 594</t>
  </si>
  <si>
    <t xml:space="preserve">CABEÇA DE LULA LIMPA</t>
  </si>
  <si>
    <t xml:space="preserve">426</t>
  </si>
  <si>
    <t xml:space="preserve">LULA INTEIRA BABY</t>
  </si>
  <si>
    <t xml:space="preserve">337</t>
  </si>
  <si>
    <t xml:space="preserve">LULA TUBOS NATUBRAS</t>
  </si>
  <si>
    <t xml:space="preserve">10</t>
  </si>
  <si>
    <t xml:space="preserve">LAGOSTIM SEM CABEÇA 41/60</t>
  </si>
  <si>
    <t xml:space="preserve">2</t>
  </si>
  <si>
    <t xml:space="preserve">POLVO EVISCERADO 200/400</t>
  </si>
  <si>
    <t xml:space="preserve">70</t>
  </si>
  <si>
    <t xml:space="preserve">CAMARAO CINZA DRENADO 41/50 S/C</t>
  </si>
  <si>
    <t xml:space="preserve">CAMARAO CINZA DRENADO 51/60 S/C</t>
  </si>
  <si>
    <t xml:space="preserve">CAMARAO CINZA DRENADO 71/90 S/C</t>
  </si>
  <si>
    <t xml:space="preserve">CAMARAO CINZA DRENADO EVISC 51/60</t>
  </si>
  <si>
    <t xml:space="preserve">CAMARAO VERMELHO EVISCERADO 30/40</t>
  </si>
  <si>
    <t xml:space="preserve">228</t>
  </si>
  <si>
    <t xml:space="preserve">RETALHO CABEÇA</t>
  </si>
  <si>
    <t xml:space="preserve">110</t>
  </si>
  <si>
    <t xml:space="preserve">QUEIXO RABO</t>
  </si>
  <si>
    <t xml:space="preserve">FARINHA TEMPERADA PARA EMPANAR</t>
  </si>
  <si>
    <t xml:space="preserve">785</t>
  </si>
  <si>
    <t xml:space="preserve">Planilha de produtos FrutMar</t>
  </si>
  <si>
    <t xml:space="preserve">Base do site. A aba Produtos tem os itens da lista do sistema antigo, com preço. Células com fundo creme são as que você edita; cinza é só referência.</t>
  </si>
  <si>
    <t xml:space="preserve">Coluna</t>
  </si>
  <si>
    <t xml:space="preserve">O que colocar</t>
  </si>
  <si>
    <t xml:space="preserve">Já gerado. Minúsculo, sem acento, único. Não mude depois que o site estiver no ar (o carrinho usa o id).</t>
  </si>
  <si>
    <t xml:space="preserve">Como o cliente vai ler no site.</t>
  </si>
  <si>
    <t xml:space="preserve">Lista: polpas, frutas, acai-cremes, gelo, sobremesas, salgados, peixes. Néctares e polpas em 'polpas'; camarão e frutos do mar em 'peixes'.</t>
  </si>
  <si>
    <t xml:space="preserve">Texto livre para agrupar dentro da categoria.</t>
  </si>
  <si>
    <t xml:space="preserve">Marca do fornecedor. Vazio se não tiver.</t>
  </si>
  <si>
    <t xml:space="preserve">O que o cliente recebe. Ex.: 'Pacote com 12 × 100 g', 'Por kg'.</t>
  </si>
  <si>
    <t xml:space="preserve">Como o preço é cobrado: un, pacote, kg, caixa ou bandeja. O site mostra 'R$ 30,00 / pacote'.</t>
  </si>
  <si>
    <t xml:space="preserve">Preço de venda por unidadeVenda, só o número (12,50). Vazio = 'Consulte o preço'. Veio da coluna 'Preço de Venda' do sistema.</t>
  </si>
  <si>
    <t xml:space="preserve">caixaQuantidade / caixaPreco</t>
  </si>
  <si>
    <t xml:space="preserve">Opcional: se o produto também vende caixa fechada, quantas unidades e o preço. Vazio = não vende por caixa.</t>
  </si>
  <si>
    <t xml:space="preserve">Nome do arquivo em src/assets/produtos/ (ex.: polpa-maracuja.jpg). Vazio = imagem padrão com o símbolo.</t>
  </si>
  <si>
    <t xml:space="preserve">TRUE = pode pedir. FALSE = mostra 'Em falta'.</t>
  </si>
  <si>
    <t xml:space="preserve">TRUE = aparece na Início. Marque de 4 a 8.</t>
  </si>
  <si>
    <t xml:space="preserve">Frase curta opcional.</t>
  </si>
  <si>
    <t xml:space="preserve">TRUE = vai para o site. FALSE = fica só na planilha. Use FALSE para o que você ainda não quer mostrar.</t>
  </si>
  <si>
    <t xml:space="preserve">Código do item no sistema antigo. Só consulta.</t>
  </si>
  <si>
    <t xml:space="preserve">Código de barras do fornecedor quando conhecido. Só consulta. O EAN do sistema veio cortado, por isso não foi usado.</t>
  </si>
  <si>
    <t xml:space="preserve">Ok = pode publicar. Conferir = dúvida, veja observacao.</t>
  </si>
  <si>
    <t xml:space="preserve">Anotações. Não vai para o site.</t>
  </si>
  <si>
    <t xml:space="preserve">Estoque no sistema quando o arquivo foi gerado. Só referência, muda todo dia, não vai para o site.</t>
  </si>
  <si>
    <t xml:space="preserve">Preço de revenda do sistema. Só referência, não vai para o site.</t>
  </si>
  <si>
    <t xml:space="preserve">Exemplo ilustrativo</t>
  </si>
  <si>
    <t xml:space="preserve">60,00</t>
  </si>
  <si>
    <t xml:space="preserve">polpa-maracuja.jpg</t>
  </si>
  <si>
    <t xml:space="preserve">TRUE</t>
  </si>
  <si>
    <t xml:space="preserve">Só para mostrar o formato: os preços reais estão na aba Produtos.</t>
  </si>
  <si>
    <t xml:space="preserve">Depois de editar</t>
  </si>
  <si>
    <t xml:space="preserve">1) Salve a aba Produtos como CSV UTF-8 com o nome produtos.csv, na raiz do projeto.  2) npm run produtos  (valida e gera src/data/produtos.json).  3) Commit e push: o site atualiza sozinho.</t>
  </si>
  <si>
    <t xml:space="preserve">Pendências e decisões</t>
  </si>
  <si>
    <t xml:space="preserve">Preço igual para todos?</t>
  </si>
  <si>
    <t xml:space="preserve">O sistema tem 'Preço de Venda' e 'Preço de Revenda' (revenda é maior, ex.: polpa R$ 30 x R$ 38). O site usa só o Preço de Venda, porque vocês disseram que o preço é o mesmo para todos. Confirmar com o chefe. O Preço de Revenda ficou na coluna de referência.</t>
  </si>
  <si>
    <t xml:space="preserve">Polpas 100 g: pacote de 12</t>
  </si>
  <si>
    <t xml:space="preserve">No sistema a polpa 100 g é vendida por PACOTE com 12 (ex.: R$ 30,00, ou R$ 2,50 a polpa). O site mostra 'R$ 30,00 / pacote'. Decidir se o consumidor final pode comprar só 1 polpa avulsa, e a que preço. Hoje não existe esse item no sistema.</t>
  </si>
  <si>
    <t xml:space="preserve">Polpas 1,02 kg e frutas: preço por kg</t>
  </si>
  <si>
    <t xml:space="preserve">O sistema cobra por KG (ex.: polpa 1,02 kg a R$ 12,00/kg). O site mostra 'R$ 12,00 / kg'. Decidir se o cliente pede em kg ou por pacote inteiro (1,02 kg = R$ 12,24). O pedido pelo site aceita quantidade com meio kg.</t>
  </si>
  <si>
    <t xml:space="preserve">Sistema: 'CX 06X1,02KG' a R$ 18,66 a R$ 27,80. O preço parece ser por pote, não por caixa de 6. Conferir. Está marcado 'Conferir'.</t>
  </si>
  <si>
    <t xml:space="preserve">Gelo Coco Leve</t>
  </si>
  <si>
    <t xml:space="preserve">Sistema: 190 g, unidade 'CX', R$ 2,60. O catálogo do fornecedor diz 55 g. Conferir peso e se o preço é por unidade.</t>
  </si>
  <si>
    <t xml:space="preserve">Peixes: unidade KG com peso na descrição</t>
  </si>
  <si>
    <t xml:space="preserve">Posta de pintado 500 g / 700 g, posta de mapará 700 g e filé de pintado 500 g têm unidade KG. O preço parece por kg, mas alguns valores são baixos (mapará R$ 16,00). Conferir.</t>
  </si>
  <si>
    <t xml:space="preserve">Morango com marca FrutBras</t>
  </si>
  <si>
    <t xml:space="preserve">O item 0611 'Morango Fruta FrutBras 1,02 kg' tem o maior estoque do sistema (759). No site aparece só como 'Morango Congelado', sem marca e sem foto da embalagem, junto com Frut Center e AHS. Confirmar com o chefe se mostra os três ou só um.</t>
  </si>
  <si>
    <t xml:space="preserve">Outras marcas de polpa</t>
  </si>
  <si>
    <t xml:space="preserve">O sistema tem polpas Nature, Canaã, Nutricau e Fauzi, quase todas com estoque zero. Estão na aba Produtos com publicar = TRUE. Decidir se ficam ou saem do site (publicar = FALSE).</t>
  </si>
  <si>
    <t xml:space="preserve">Estoque</t>
  </si>
  <si>
    <t xml:space="preserve">100 dos 154 itens estão com estoque 0 no sistema (quase todos os peixes e salgados). Pode ser que o estoque desses itens não seja controlado. Decidir a regra do site: mostrar sempre, mostrar 'Em falta' ou esconder (pergunta 7 do PRD). O estoque não entra no site; ele muda todo dia.</t>
  </si>
  <si>
    <t xml:space="preserve">Itens que não são produtos</t>
  </si>
  <si>
    <t xml:space="preserve">Ficaram de fora: Frete 8% (1602), Freezer 300 L (20253) e um injetor de veículo (00204).</t>
  </si>
  <si>
    <t xml:space="preserve">Código de barras do sistema</t>
  </si>
  <si>
    <t xml:space="preserve">As colunas de EAN do sistema vieram cortadas (10 dígitos, repetidas). Não foram usadas. O EAN completo vem do catálogo Brasfrut.</t>
  </si>
  <si>
    <t xml:space="preserve">Itens do catálogo fora da lista</t>
  </si>
  <si>
    <t xml:space="preserve">Brownie Bites, tortas, néctares, cremes de açaí de 3 kg, Açaí Frut Polpas, salgados do catálogo e ~190 peixes do catálogo CenterFish não aparecem (ou aparecem com outro nome) no sistema. Estão na aba 'Catálogo fornecedores' como referência.</t>
  </si>
  <si>
    <t xml:space="preserve">Polpa de Graviola (10009)</t>
  </si>
  <si>
    <t xml:space="preserve">'4X1,020GR' a R$ 35,00 parece erro de cadastro. Conferir.</t>
  </si>
  <si>
    <t xml:space="preserve">Fotos</t>
  </si>
  <si>
    <t xml:space="preserve">Nenhuma foto vinculada. Fotos de embalagem dos fornecedores só com autorização deles; a do morango FrutBras não pode ser usada. Até lá, imagem padrão.</t>
  </si>
  <si>
    <t xml:space="preserve">Categorias</t>
  </si>
  <si>
    <t xml:space="preserve">O PRD tem 7 categorias. Néctares (só no catálogo) iriam para 'polpas' e camarão/frutos do mar ficam em 'peixes'.</t>
  </si>
  <si>
    <t xml:space="preserve">Resumo por categoria (aba Produtos)</t>
  </si>
  <si>
    <t xml:space="preserve">Categoria</t>
  </si>
  <si>
    <t xml:space="preserve">Produtos</t>
  </si>
  <si>
    <t xml:space="preserve">Com preço</t>
  </si>
  <si>
    <t xml:space="preserve">A conferir</t>
  </si>
  <si>
    <t xml:space="preserve">Para publicar</t>
  </si>
  <si>
    <t xml:space="preserve">Estoque zero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</si>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</sst>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$ &quot;#,##0.00"/>
    <numFmt numFmtId="166" formatCode="General"/>
    <numFmt numFmtId="167" formatCode="#,##0.###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B45309"/>
      <name val="Arial"/>
      <family val="0"/>
      <charset val="1"/>
    </font>
    <font>
      <b val="true"/>
      <sz val="10"/>
      <color rgb="FF0A3D62"/>
      <name val="Arial"/>
      <family val="0"/>
      <charset val="1"/>
    </font>
    <font>
      <b val="true"/>
      <sz val="14"/>
      <color rgb="FF0A3D62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A3D62"/>
        <bgColor rgb="FF333333"/>
      </patternFill>
    </fill>
    <fill>
      <patternFill patternType="solid">
        <fgColor rgb="FFFFF1DC"/>
        <bgColor rgb="FFEEF3F6"/>
      </patternFill>
    </fill>
    <fill>
      <patternFill patternType="solid">
        <fgColor rgb="FFEEF3F6"/>
        <bgColor rgb="FFFFF1D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6E6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0A3D6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1D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B45309"/>
          <bgColor rgb="FF000000"/>
        </patternFill>
      </fill>
    </dxf>
    <dxf>
      <fill>
        <patternFill patternType="solid">
          <fgColor rgb="FFEEF3F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1DC"/>
      <rgbColor rgb="FFD6E6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3F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A3D62"/>
      <rgbColor rgb="FF339966"/>
      <rgbColor rgb="FF003300"/>
      <rgbColor rgb="FF333300"/>
      <rgbColor rgb="FFB45309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8"/>
    <col collapsed="false" customWidth="true" hidden="false" outlineLevel="0" max="3" min="3" style="0" width="13"/>
    <col collapsed="false" customWidth="true" hidden="false" outlineLevel="0" max="4" min="4" style="0" width="22"/>
    <col collapsed="false" customWidth="true" hidden="false" outlineLevel="0" max="5" min="5" style="0" width="13"/>
    <col collapsed="false" customWidth="true" hidden="false" outlineLevel="0" max="6" min="6" style="0" width="28"/>
    <col collapsed="false" customWidth="true" hidden="false" outlineLevel="0" max="10" min="7" style="0" width="13"/>
    <col collapsed="false" customWidth="true" hidden="false" outlineLevel="0" max="11" min="11" style="0" width="24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30"/>
    <col collapsed="false" customWidth="true" hidden="false" outlineLevel="0" max="15" min="15" style="0" width="10"/>
    <col collapsed="false" customWidth="true" hidden="false" outlineLevel="0" max="16" min="16" style="0" width="13"/>
    <col collapsed="false" customWidth="true" hidden="false" outlineLevel="0" max="17" min="17" style="0" width="15"/>
    <col collapsed="false" customWidth="true" hidden="false" outlineLevel="0" max="18" min="18" style="0" width="11"/>
    <col collapsed="false" customWidth="true" hidden="false" outlineLevel="0" max="19" min="19" style="0" width="60"/>
    <col collapsed="false" customWidth="true" hidden="false" outlineLevel="0" max="20" min="20" style="0" width="12"/>
    <col collapsed="false" customWidth="true" hidden="false" outlineLevel="0" max="21" min="21" style="0" width="13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" hidden="false" customHeight="false" outlineLevel="0" collapsed="false">
      <c r="A2" s="2" t="s">
        <v>21</v>
      </c>
      <c r="B2" s="3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4" t="s">
        <v>27</v>
      </c>
      <c r="H2" s="5" t="n">
        <v>30</v>
      </c>
      <c r="I2" s="4"/>
      <c r="J2" s="5"/>
      <c r="K2" s="4"/>
      <c r="L2" s="6" t="b">
        <f aca="false">TRUE()</f>
        <v>1</v>
      </c>
      <c r="M2" s="6" t="b">
        <f aca="false">FALSE()</f>
        <v>0</v>
      </c>
      <c r="N2" s="4"/>
      <c r="O2" s="6" t="b">
        <f aca="false">TRUE()</f>
        <v>1</v>
      </c>
      <c r="P2" s="2" t="s">
        <v>28</v>
      </c>
      <c r="Q2" s="2" t="s">
        <v>29</v>
      </c>
      <c r="R2" s="2" t="s">
        <v>30</v>
      </c>
      <c r="S2" s="3"/>
      <c r="T2" s="7" t="n">
        <v>154</v>
      </c>
      <c r="U2" s="8" t="n">
        <v>38</v>
      </c>
    </row>
    <row r="3" customFormat="false" ht="15" hidden="false" customHeight="false" outlineLevel="0" collapsed="false">
      <c r="A3" s="2" t="s">
        <v>31</v>
      </c>
      <c r="B3" s="3" t="s">
        <v>32</v>
      </c>
      <c r="C3" s="2" t="s">
        <v>23</v>
      </c>
      <c r="D3" s="2" t="s">
        <v>24</v>
      </c>
      <c r="E3" s="2" t="s">
        <v>25</v>
      </c>
      <c r="F3" s="2" t="s">
        <v>26</v>
      </c>
      <c r="G3" s="4" t="s">
        <v>27</v>
      </c>
      <c r="H3" s="5" t="n">
        <v>30</v>
      </c>
      <c r="I3" s="4"/>
      <c r="J3" s="5"/>
      <c r="K3" s="4"/>
      <c r="L3" s="6" t="b">
        <f aca="false">TRUE()</f>
        <v>1</v>
      </c>
      <c r="M3" s="6" t="b">
        <f aca="false">FALSE()</f>
        <v>0</v>
      </c>
      <c r="N3" s="4"/>
      <c r="O3" s="6" t="b">
        <f aca="false">TRUE()</f>
        <v>1</v>
      </c>
      <c r="P3" s="2" t="s">
        <v>33</v>
      </c>
      <c r="Q3" s="2" t="s">
        <v>34</v>
      </c>
      <c r="R3" s="2" t="s">
        <v>30</v>
      </c>
      <c r="S3" s="3"/>
      <c r="T3" s="7" t="n">
        <v>19</v>
      </c>
      <c r="U3" s="8" t="n">
        <v>38</v>
      </c>
    </row>
    <row r="4" customFormat="false" ht="15" hidden="false" customHeight="false" outlineLevel="0" collapsed="false">
      <c r="A4" s="2" t="s">
        <v>35</v>
      </c>
      <c r="B4" s="3" t="s">
        <v>36</v>
      </c>
      <c r="C4" s="2" t="s">
        <v>23</v>
      </c>
      <c r="D4" s="2" t="s">
        <v>24</v>
      </c>
      <c r="E4" s="2" t="s">
        <v>25</v>
      </c>
      <c r="F4" s="2" t="s">
        <v>26</v>
      </c>
      <c r="G4" s="4" t="s">
        <v>27</v>
      </c>
      <c r="H4" s="5" t="n">
        <v>40</v>
      </c>
      <c r="I4" s="4"/>
      <c r="J4" s="5"/>
      <c r="K4" s="4"/>
      <c r="L4" s="6" t="b">
        <f aca="false">TRUE()</f>
        <v>1</v>
      </c>
      <c r="M4" s="6" t="b">
        <f aca="false">FALSE()</f>
        <v>0</v>
      </c>
      <c r="N4" s="4"/>
      <c r="O4" s="6" t="b">
        <f aca="false">TRUE()</f>
        <v>1</v>
      </c>
      <c r="P4" s="2" t="s">
        <v>37</v>
      </c>
      <c r="Q4" s="2" t="s">
        <v>38</v>
      </c>
      <c r="R4" s="2" t="s">
        <v>30</v>
      </c>
      <c r="S4" s="3"/>
      <c r="T4" s="7" t="n">
        <v>128</v>
      </c>
      <c r="U4" s="8" t="n">
        <v>50</v>
      </c>
    </row>
    <row r="5" customFormat="false" ht="15" hidden="false" customHeight="false" outlineLevel="0" collapsed="false">
      <c r="A5" s="2" t="s">
        <v>39</v>
      </c>
      <c r="B5" s="3" t="s">
        <v>40</v>
      </c>
      <c r="C5" s="2" t="s">
        <v>23</v>
      </c>
      <c r="D5" s="2" t="s">
        <v>24</v>
      </c>
      <c r="E5" s="2" t="s">
        <v>25</v>
      </c>
      <c r="F5" s="2" t="s">
        <v>26</v>
      </c>
      <c r="G5" s="4" t="s">
        <v>27</v>
      </c>
      <c r="H5" s="5" t="n">
        <v>30</v>
      </c>
      <c r="I5" s="4"/>
      <c r="J5" s="5"/>
      <c r="K5" s="4"/>
      <c r="L5" s="6" t="b">
        <f aca="false">TRUE()</f>
        <v>1</v>
      </c>
      <c r="M5" s="6" t="b">
        <f aca="false">FALSE()</f>
        <v>0</v>
      </c>
      <c r="N5" s="4"/>
      <c r="O5" s="6" t="b">
        <f aca="false">TRUE()</f>
        <v>1</v>
      </c>
      <c r="P5" s="2" t="s">
        <v>41</v>
      </c>
      <c r="Q5" s="2" t="s">
        <v>42</v>
      </c>
      <c r="R5" s="2" t="s">
        <v>30</v>
      </c>
      <c r="S5" s="3"/>
      <c r="T5" s="7" t="n">
        <v>87</v>
      </c>
      <c r="U5" s="8" t="n">
        <v>38</v>
      </c>
    </row>
    <row r="6" customFormat="false" ht="15" hidden="false" customHeight="false" outlineLevel="0" collapsed="false">
      <c r="A6" s="2" t="s">
        <v>43</v>
      </c>
      <c r="B6" s="3" t="s">
        <v>44</v>
      </c>
      <c r="C6" s="2" t="s">
        <v>23</v>
      </c>
      <c r="D6" s="2" t="s">
        <v>24</v>
      </c>
      <c r="E6" s="2" t="s">
        <v>25</v>
      </c>
      <c r="F6" s="2" t="s">
        <v>26</v>
      </c>
      <c r="G6" s="4" t="s">
        <v>27</v>
      </c>
      <c r="H6" s="5" t="n">
        <v>35</v>
      </c>
      <c r="I6" s="4"/>
      <c r="J6" s="5"/>
      <c r="K6" s="4"/>
      <c r="L6" s="6" t="b">
        <f aca="false">TRUE()</f>
        <v>1</v>
      </c>
      <c r="M6" s="6" t="b">
        <f aca="false">FALSE()</f>
        <v>0</v>
      </c>
      <c r="N6" s="4"/>
      <c r="O6" s="6" t="b">
        <f aca="false">TRUE()</f>
        <v>1</v>
      </c>
      <c r="P6" s="2" t="s">
        <v>45</v>
      </c>
      <c r="Q6" s="2" t="s">
        <v>46</v>
      </c>
      <c r="R6" s="2" t="s">
        <v>30</v>
      </c>
      <c r="S6" s="3"/>
      <c r="T6" s="7" t="n">
        <v>47</v>
      </c>
      <c r="U6" s="8"/>
    </row>
    <row r="7" customFormat="false" ht="15" hidden="false" customHeight="false" outlineLevel="0" collapsed="false">
      <c r="A7" s="2" t="s">
        <v>47</v>
      </c>
      <c r="B7" s="3" t="s">
        <v>48</v>
      </c>
      <c r="C7" s="2" t="s">
        <v>23</v>
      </c>
      <c r="D7" s="2" t="s">
        <v>24</v>
      </c>
      <c r="E7" s="2" t="s">
        <v>25</v>
      </c>
      <c r="F7" s="2" t="s">
        <v>26</v>
      </c>
      <c r="G7" s="4" t="s">
        <v>27</v>
      </c>
      <c r="H7" s="5" t="n">
        <v>30</v>
      </c>
      <c r="I7" s="4"/>
      <c r="J7" s="5"/>
      <c r="K7" s="4"/>
      <c r="L7" s="6" t="b">
        <f aca="false">TRUE()</f>
        <v>1</v>
      </c>
      <c r="M7" s="6" t="b">
        <f aca="false">FALSE()</f>
        <v>0</v>
      </c>
      <c r="N7" s="4"/>
      <c r="O7" s="6" t="b">
        <f aca="false">TRUE()</f>
        <v>1</v>
      </c>
      <c r="P7" s="2" t="s">
        <v>49</v>
      </c>
      <c r="Q7" s="2" t="s">
        <v>50</v>
      </c>
      <c r="R7" s="2" t="s">
        <v>30</v>
      </c>
      <c r="S7" s="3"/>
      <c r="T7" s="7" t="n">
        <v>22</v>
      </c>
      <c r="U7" s="8" t="n">
        <v>38</v>
      </c>
    </row>
    <row r="8" customFormat="false" ht="15" hidden="false" customHeight="false" outlineLevel="0" collapsed="false">
      <c r="A8" s="2" t="s">
        <v>51</v>
      </c>
      <c r="B8" s="3" t="s">
        <v>52</v>
      </c>
      <c r="C8" s="2" t="s">
        <v>23</v>
      </c>
      <c r="D8" s="2" t="s">
        <v>24</v>
      </c>
      <c r="E8" s="2" t="s">
        <v>25</v>
      </c>
      <c r="F8" s="2" t="s">
        <v>26</v>
      </c>
      <c r="G8" s="4" t="s">
        <v>27</v>
      </c>
      <c r="H8" s="5" t="n">
        <v>40</v>
      </c>
      <c r="I8" s="4"/>
      <c r="J8" s="5"/>
      <c r="K8" s="4"/>
      <c r="L8" s="6" t="b">
        <f aca="false">TRUE()</f>
        <v>1</v>
      </c>
      <c r="M8" s="6" t="b">
        <f aca="false">FALSE()</f>
        <v>0</v>
      </c>
      <c r="N8" s="4"/>
      <c r="O8" s="6" t="b">
        <f aca="false">TRUE()</f>
        <v>1</v>
      </c>
      <c r="P8" s="2" t="s">
        <v>53</v>
      </c>
      <c r="Q8" s="2" t="s">
        <v>54</v>
      </c>
      <c r="R8" s="2" t="s">
        <v>30</v>
      </c>
      <c r="S8" s="3"/>
      <c r="T8" s="7" t="n">
        <v>21</v>
      </c>
      <c r="U8" s="8" t="n">
        <v>50</v>
      </c>
    </row>
    <row r="9" customFormat="false" ht="15" hidden="false" customHeight="false" outlineLevel="0" collapsed="false">
      <c r="A9" s="2" t="s">
        <v>55</v>
      </c>
      <c r="B9" s="3" t="s">
        <v>56</v>
      </c>
      <c r="C9" s="2" t="s">
        <v>23</v>
      </c>
      <c r="D9" s="2" t="s">
        <v>24</v>
      </c>
      <c r="E9" s="2" t="s">
        <v>25</v>
      </c>
      <c r="F9" s="2" t="s">
        <v>26</v>
      </c>
      <c r="G9" s="4" t="s">
        <v>27</v>
      </c>
      <c r="H9" s="5" t="n">
        <v>30</v>
      </c>
      <c r="I9" s="4"/>
      <c r="J9" s="5"/>
      <c r="K9" s="4"/>
      <c r="L9" s="6" t="b">
        <f aca="false">TRUE()</f>
        <v>1</v>
      </c>
      <c r="M9" s="6" t="b">
        <f aca="false">FALSE()</f>
        <v>0</v>
      </c>
      <c r="N9" s="4"/>
      <c r="O9" s="6" t="b">
        <f aca="false">TRUE()</f>
        <v>1</v>
      </c>
      <c r="P9" s="2" t="s">
        <v>57</v>
      </c>
      <c r="Q9" s="2" t="s">
        <v>58</v>
      </c>
      <c r="R9" s="2" t="s">
        <v>30</v>
      </c>
      <c r="S9" s="3"/>
      <c r="T9" s="7" t="n">
        <v>36</v>
      </c>
      <c r="U9" s="8" t="n">
        <v>38</v>
      </c>
    </row>
    <row r="10" customFormat="false" ht="15" hidden="false" customHeight="false" outlineLevel="0" collapsed="false">
      <c r="A10" s="2" t="s">
        <v>59</v>
      </c>
      <c r="B10" s="3" t="s">
        <v>60</v>
      </c>
      <c r="C10" s="2" t="s">
        <v>23</v>
      </c>
      <c r="D10" s="2" t="s">
        <v>24</v>
      </c>
      <c r="E10" s="2" t="s">
        <v>25</v>
      </c>
      <c r="F10" s="2" t="s">
        <v>26</v>
      </c>
      <c r="G10" s="4" t="s">
        <v>27</v>
      </c>
      <c r="H10" s="5" t="n">
        <v>60</v>
      </c>
      <c r="I10" s="4"/>
      <c r="J10" s="5"/>
      <c r="K10" s="4"/>
      <c r="L10" s="6" t="b">
        <f aca="false">TRUE()</f>
        <v>1</v>
      </c>
      <c r="M10" s="6" t="b">
        <f aca="false">FALSE()</f>
        <v>0</v>
      </c>
      <c r="N10" s="4"/>
      <c r="O10" s="6" t="b">
        <f aca="false">TRUE()</f>
        <v>1</v>
      </c>
      <c r="P10" s="2" t="s">
        <v>61</v>
      </c>
      <c r="Q10" s="2" t="s">
        <v>62</v>
      </c>
      <c r="R10" s="2" t="s">
        <v>30</v>
      </c>
      <c r="S10" s="3"/>
      <c r="T10" s="7" t="n">
        <v>320</v>
      </c>
      <c r="U10" s="8" t="n">
        <v>70</v>
      </c>
    </row>
    <row r="11" customFormat="false" ht="15" hidden="false" customHeight="false" outlineLevel="0" collapsed="false">
      <c r="A11" s="2" t="s">
        <v>63</v>
      </c>
      <c r="B11" s="3" t="s">
        <v>64</v>
      </c>
      <c r="C11" s="2" t="s">
        <v>23</v>
      </c>
      <c r="D11" s="2" t="s">
        <v>24</v>
      </c>
      <c r="E11" s="2" t="s">
        <v>25</v>
      </c>
      <c r="F11" s="2" t="s">
        <v>26</v>
      </c>
      <c r="G11" s="4" t="s">
        <v>27</v>
      </c>
      <c r="H11" s="5" t="n">
        <v>40</v>
      </c>
      <c r="I11" s="4"/>
      <c r="J11" s="5"/>
      <c r="K11" s="4"/>
      <c r="L11" s="6" t="b">
        <f aca="false">TRUE()</f>
        <v>1</v>
      </c>
      <c r="M11" s="6" t="b">
        <f aca="false">FALSE()</f>
        <v>0</v>
      </c>
      <c r="N11" s="4"/>
      <c r="O11" s="6" t="b">
        <f aca="false">TRUE()</f>
        <v>1</v>
      </c>
      <c r="P11" s="2" t="s">
        <v>65</v>
      </c>
      <c r="Q11" s="2" t="s">
        <v>66</v>
      </c>
      <c r="R11" s="2" t="s">
        <v>30</v>
      </c>
      <c r="S11" s="3"/>
      <c r="T11" s="7" t="n">
        <v>245</v>
      </c>
      <c r="U11" s="8" t="n">
        <v>50</v>
      </c>
    </row>
    <row r="12" customFormat="false" ht="15" hidden="false" customHeight="false" outlineLevel="0" collapsed="false">
      <c r="A12" s="2" t="s">
        <v>67</v>
      </c>
      <c r="B12" s="3" t="s">
        <v>68</v>
      </c>
      <c r="C12" s="2" t="s">
        <v>23</v>
      </c>
      <c r="D12" s="2" t="s">
        <v>24</v>
      </c>
      <c r="E12" s="2" t="s">
        <v>25</v>
      </c>
      <c r="F12" s="2" t="s">
        <v>26</v>
      </c>
      <c r="G12" s="4" t="s">
        <v>27</v>
      </c>
      <c r="H12" s="5" t="n">
        <v>60</v>
      </c>
      <c r="I12" s="4"/>
      <c r="J12" s="5"/>
      <c r="K12" s="4"/>
      <c r="L12" s="6" t="b">
        <f aca="false">TRUE()</f>
        <v>1</v>
      </c>
      <c r="M12" s="6" t="b">
        <f aca="false">FALSE()</f>
        <v>0</v>
      </c>
      <c r="N12" s="4"/>
      <c r="O12" s="6" t="b">
        <f aca="false">TRUE()</f>
        <v>1</v>
      </c>
      <c r="P12" s="2" t="s">
        <v>69</v>
      </c>
      <c r="Q12" s="2" t="s">
        <v>70</v>
      </c>
      <c r="R12" s="2" t="s">
        <v>30</v>
      </c>
      <c r="S12" s="3"/>
      <c r="T12" s="7" t="n">
        <v>64</v>
      </c>
      <c r="U12" s="8"/>
    </row>
    <row r="13" customFormat="false" ht="15" hidden="false" customHeight="false" outlineLevel="0" collapsed="false">
      <c r="A13" s="2" t="s">
        <v>71</v>
      </c>
      <c r="B13" s="3" t="s">
        <v>72</v>
      </c>
      <c r="C13" s="2" t="s">
        <v>23</v>
      </c>
      <c r="D13" s="2" t="s">
        <v>24</v>
      </c>
      <c r="E13" s="2" t="s">
        <v>25</v>
      </c>
      <c r="F13" s="2" t="s">
        <v>26</v>
      </c>
      <c r="G13" s="4" t="s">
        <v>27</v>
      </c>
      <c r="H13" s="5" t="n">
        <v>30</v>
      </c>
      <c r="I13" s="4"/>
      <c r="J13" s="5"/>
      <c r="K13" s="4"/>
      <c r="L13" s="6" t="b">
        <f aca="false">TRUE()</f>
        <v>1</v>
      </c>
      <c r="M13" s="6" t="b">
        <f aca="false">FALSE()</f>
        <v>0</v>
      </c>
      <c r="N13" s="4"/>
      <c r="O13" s="6" t="b">
        <f aca="false">TRUE()</f>
        <v>1</v>
      </c>
      <c r="P13" s="2" t="s">
        <v>73</v>
      </c>
      <c r="Q13" s="2" t="s">
        <v>74</v>
      </c>
      <c r="R13" s="2" t="s">
        <v>30</v>
      </c>
      <c r="S13" s="3"/>
      <c r="T13" s="7" t="n">
        <v>142</v>
      </c>
      <c r="U13" s="8" t="n">
        <v>38</v>
      </c>
    </row>
    <row r="14" customFormat="false" ht="15" hidden="false" customHeight="false" outlineLevel="0" collapsed="false">
      <c r="A14" s="2" t="s">
        <v>75</v>
      </c>
      <c r="B14" s="3" t="s">
        <v>76</v>
      </c>
      <c r="C14" s="2" t="s">
        <v>23</v>
      </c>
      <c r="D14" s="2" t="s">
        <v>24</v>
      </c>
      <c r="E14" s="2" t="s">
        <v>25</v>
      </c>
      <c r="F14" s="2" t="s">
        <v>26</v>
      </c>
      <c r="G14" s="4" t="s">
        <v>27</v>
      </c>
      <c r="H14" s="5" t="n">
        <v>30</v>
      </c>
      <c r="I14" s="4"/>
      <c r="J14" s="5"/>
      <c r="K14" s="4"/>
      <c r="L14" s="6" t="b">
        <f aca="false">TRUE()</f>
        <v>1</v>
      </c>
      <c r="M14" s="6" t="b">
        <f aca="false">FALSE()</f>
        <v>0</v>
      </c>
      <c r="N14" s="4"/>
      <c r="O14" s="6" t="b">
        <f aca="false">TRUE()</f>
        <v>1</v>
      </c>
      <c r="P14" s="2" t="s">
        <v>77</v>
      </c>
      <c r="Q14" s="2" t="s">
        <v>78</v>
      </c>
      <c r="R14" s="2" t="s">
        <v>30</v>
      </c>
      <c r="S14" s="3"/>
      <c r="T14" s="7" t="n">
        <v>184</v>
      </c>
      <c r="U14" s="8" t="n">
        <v>38</v>
      </c>
    </row>
    <row r="15" customFormat="false" ht="15" hidden="false" customHeight="false" outlineLevel="0" collapsed="false">
      <c r="A15" s="2" t="s">
        <v>79</v>
      </c>
      <c r="B15" s="3" t="s">
        <v>76</v>
      </c>
      <c r="C15" s="2" t="s">
        <v>23</v>
      </c>
      <c r="D15" s="2" t="s">
        <v>24</v>
      </c>
      <c r="E15" s="2" t="s">
        <v>80</v>
      </c>
      <c r="F15" s="2" t="s">
        <v>26</v>
      </c>
      <c r="G15" s="4" t="s">
        <v>27</v>
      </c>
      <c r="H15" s="5" t="n">
        <v>23</v>
      </c>
      <c r="I15" s="4"/>
      <c r="J15" s="5"/>
      <c r="K15" s="4"/>
      <c r="L15" s="6" t="b">
        <f aca="false">TRUE()</f>
        <v>1</v>
      </c>
      <c r="M15" s="6" t="b">
        <f aca="false">FALSE()</f>
        <v>0</v>
      </c>
      <c r="N15" s="4"/>
      <c r="O15" s="6" t="b">
        <f aca="false">TRUE()</f>
        <v>1</v>
      </c>
      <c r="P15" s="2" t="s">
        <v>81</v>
      </c>
      <c r="Q15" s="2"/>
      <c r="R15" s="2" t="s">
        <v>30</v>
      </c>
      <c r="S15" s="3"/>
      <c r="T15" s="7" t="n">
        <v>0</v>
      </c>
      <c r="U15" s="8"/>
    </row>
    <row r="16" customFormat="false" ht="15" hidden="false" customHeight="false" outlineLevel="0" collapsed="false">
      <c r="A16" s="2" t="s">
        <v>82</v>
      </c>
      <c r="B16" s="3" t="s">
        <v>83</v>
      </c>
      <c r="C16" s="2" t="s">
        <v>23</v>
      </c>
      <c r="D16" s="2" t="s">
        <v>24</v>
      </c>
      <c r="E16" s="2" t="s">
        <v>25</v>
      </c>
      <c r="F16" s="2" t="s">
        <v>26</v>
      </c>
      <c r="G16" s="4" t="s">
        <v>27</v>
      </c>
      <c r="H16" s="5" t="n">
        <v>45</v>
      </c>
      <c r="I16" s="4"/>
      <c r="J16" s="5"/>
      <c r="K16" s="4"/>
      <c r="L16" s="6" t="b">
        <f aca="false">TRUE()</f>
        <v>1</v>
      </c>
      <c r="M16" s="6" t="b">
        <f aca="false">FALSE()</f>
        <v>0</v>
      </c>
      <c r="N16" s="4"/>
      <c r="O16" s="6" t="b">
        <f aca="false">TRUE()</f>
        <v>1</v>
      </c>
      <c r="P16" s="2" t="s">
        <v>84</v>
      </c>
      <c r="Q16" s="2" t="s">
        <v>85</v>
      </c>
      <c r="R16" s="2" t="s">
        <v>30</v>
      </c>
      <c r="S16" s="3"/>
      <c r="T16" s="7" t="n">
        <v>2</v>
      </c>
      <c r="U16" s="8"/>
    </row>
    <row r="17" customFormat="false" ht="15" hidden="false" customHeight="false" outlineLevel="0" collapsed="false">
      <c r="A17" s="2" t="s">
        <v>86</v>
      </c>
      <c r="B17" s="3" t="s">
        <v>76</v>
      </c>
      <c r="C17" s="2" t="s">
        <v>23</v>
      </c>
      <c r="D17" s="2" t="s">
        <v>87</v>
      </c>
      <c r="E17" s="2" t="s">
        <v>25</v>
      </c>
      <c r="F17" s="2" t="s">
        <v>88</v>
      </c>
      <c r="G17" s="4" t="s">
        <v>89</v>
      </c>
      <c r="H17" s="5" t="n">
        <v>12</v>
      </c>
      <c r="I17" s="4"/>
      <c r="J17" s="5"/>
      <c r="K17" s="4"/>
      <c r="L17" s="6" t="b">
        <f aca="false">TRUE()</f>
        <v>1</v>
      </c>
      <c r="M17" s="6" t="b">
        <f aca="false">FALSE()</f>
        <v>0</v>
      </c>
      <c r="N17" s="4"/>
      <c r="O17" s="6" t="b">
        <f aca="false">TRUE()</f>
        <v>1</v>
      </c>
      <c r="P17" s="2" t="s">
        <v>90</v>
      </c>
      <c r="Q17" s="2" t="s">
        <v>91</v>
      </c>
      <c r="R17" s="2" t="s">
        <v>30</v>
      </c>
      <c r="S17" s="3"/>
      <c r="T17" s="7" t="n">
        <v>250</v>
      </c>
      <c r="U17" s="8"/>
    </row>
    <row r="18" customFormat="false" ht="15" hidden="false" customHeight="false" outlineLevel="0" collapsed="false">
      <c r="A18" s="2" t="s">
        <v>92</v>
      </c>
      <c r="B18" s="3" t="s">
        <v>22</v>
      </c>
      <c r="C18" s="2" t="s">
        <v>23</v>
      </c>
      <c r="D18" s="2" t="s">
        <v>87</v>
      </c>
      <c r="E18" s="2" t="s">
        <v>25</v>
      </c>
      <c r="F18" s="2" t="s">
        <v>88</v>
      </c>
      <c r="G18" s="4" t="s">
        <v>89</v>
      </c>
      <c r="H18" s="5" t="n">
        <v>12</v>
      </c>
      <c r="I18" s="4"/>
      <c r="J18" s="5"/>
      <c r="K18" s="4"/>
      <c r="L18" s="6" t="b">
        <f aca="false">TRUE()</f>
        <v>1</v>
      </c>
      <c r="M18" s="6" t="b">
        <f aca="false">FALSE()</f>
        <v>0</v>
      </c>
      <c r="N18" s="4"/>
      <c r="O18" s="6" t="b">
        <f aca="false">TRUE()</f>
        <v>1</v>
      </c>
      <c r="P18" s="2" t="s">
        <v>93</v>
      </c>
      <c r="Q18" s="2" t="s">
        <v>94</v>
      </c>
      <c r="R18" s="2" t="s">
        <v>30</v>
      </c>
      <c r="S18" s="3"/>
      <c r="T18" s="7" t="n">
        <v>318</v>
      </c>
      <c r="U18" s="8"/>
    </row>
    <row r="19" customFormat="false" ht="15" hidden="false" customHeight="false" outlineLevel="0" collapsed="false">
      <c r="A19" s="2" t="s">
        <v>95</v>
      </c>
      <c r="B19" s="3" t="s">
        <v>40</v>
      </c>
      <c r="C19" s="2" t="s">
        <v>23</v>
      </c>
      <c r="D19" s="2" t="s">
        <v>87</v>
      </c>
      <c r="E19" s="2" t="s">
        <v>25</v>
      </c>
      <c r="F19" s="2" t="s">
        <v>88</v>
      </c>
      <c r="G19" s="4" t="s">
        <v>89</v>
      </c>
      <c r="H19" s="5" t="n">
        <v>12</v>
      </c>
      <c r="I19" s="4"/>
      <c r="J19" s="5"/>
      <c r="K19" s="4"/>
      <c r="L19" s="6" t="b">
        <f aca="false">TRUE()</f>
        <v>1</v>
      </c>
      <c r="M19" s="6" t="b">
        <f aca="false">FALSE()</f>
        <v>0</v>
      </c>
      <c r="N19" s="4"/>
      <c r="O19" s="6" t="b">
        <f aca="false">TRUE()</f>
        <v>1</v>
      </c>
      <c r="P19" s="2" t="s">
        <v>96</v>
      </c>
      <c r="Q19" s="2" t="s">
        <v>97</v>
      </c>
      <c r="R19" s="2" t="s">
        <v>30</v>
      </c>
      <c r="S19" s="3"/>
      <c r="T19" s="7" t="n">
        <v>287</v>
      </c>
      <c r="U19" s="8"/>
    </row>
    <row r="20" customFormat="false" ht="15" hidden="false" customHeight="false" outlineLevel="0" collapsed="false">
      <c r="A20" s="2" t="s">
        <v>98</v>
      </c>
      <c r="B20" s="3" t="s">
        <v>48</v>
      </c>
      <c r="C20" s="2" t="s">
        <v>23</v>
      </c>
      <c r="D20" s="2" t="s">
        <v>87</v>
      </c>
      <c r="E20" s="2" t="s">
        <v>25</v>
      </c>
      <c r="F20" s="2" t="s">
        <v>88</v>
      </c>
      <c r="G20" s="4" t="s">
        <v>89</v>
      </c>
      <c r="H20" s="5" t="n">
        <v>12</v>
      </c>
      <c r="I20" s="4"/>
      <c r="J20" s="5"/>
      <c r="K20" s="4"/>
      <c r="L20" s="6" t="b">
        <f aca="false">TRUE()</f>
        <v>1</v>
      </c>
      <c r="M20" s="6" t="b">
        <f aca="false">FALSE()</f>
        <v>0</v>
      </c>
      <c r="N20" s="4"/>
      <c r="O20" s="6" t="b">
        <f aca="false">TRUE()</f>
        <v>1</v>
      </c>
      <c r="P20" s="2" t="s">
        <v>99</v>
      </c>
      <c r="Q20" s="2" t="s">
        <v>100</v>
      </c>
      <c r="R20" s="2" t="s">
        <v>30</v>
      </c>
      <c r="S20" s="3"/>
      <c r="T20" s="7" t="n">
        <v>229</v>
      </c>
      <c r="U20" s="8"/>
    </row>
    <row r="21" customFormat="false" ht="15" hidden="false" customHeight="false" outlineLevel="0" collapsed="false">
      <c r="A21" s="2" t="s">
        <v>101</v>
      </c>
      <c r="B21" s="3" t="s">
        <v>72</v>
      </c>
      <c r="C21" s="2" t="s">
        <v>23</v>
      </c>
      <c r="D21" s="2" t="s">
        <v>87</v>
      </c>
      <c r="E21" s="2" t="s">
        <v>25</v>
      </c>
      <c r="F21" s="2" t="s">
        <v>88</v>
      </c>
      <c r="G21" s="4" t="s">
        <v>89</v>
      </c>
      <c r="H21" s="5" t="n">
        <v>12</v>
      </c>
      <c r="I21" s="4"/>
      <c r="J21" s="5"/>
      <c r="K21" s="4"/>
      <c r="L21" s="6" t="b">
        <f aca="false">TRUE()</f>
        <v>1</v>
      </c>
      <c r="M21" s="6" t="b">
        <f aca="false">FALSE()</f>
        <v>0</v>
      </c>
      <c r="N21" s="4"/>
      <c r="O21" s="6" t="b">
        <f aca="false">TRUE()</f>
        <v>1</v>
      </c>
      <c r="P21" s="2" t="s">
        <v>102</v>
      </c>
      <c r="Q21" s="2" t="s">
        <v>103</v>
      </c>
      <c r="R21" s="2" t="s">
        <v>30</v>
      </c>
      <c r="S21" s="3"/>
      <c r="T21" s="7" t="n">
        <v>339</v>
      </c>
      <c r="U21" s="8"/>
    </row>
    <row r="22" customFormat="false" ht="15" hidden="false" customHeight="false" outlineLevel="0" collapsed="false">
      <c r="A22" s="2" t="s">
        <v>104</v>
      </c>
      <c r="B22" s="3" t="s">
        <v>105</v>
      </c>
      <c r="C22" s="2" t="s">
        <v>106</v>
      </c>
      <c r="D22" s="2" t="s">
        <v>107</v>
      </c>
      <c r="E22" s="2"/>
      <c r="F22" s="2" t="s">
        <v>108</v>
      </c>
      <c r="G22" s="4" t="s">
        <v>89</v>
      </c>
      <c r="H22" s="5" t="n">
        <v>39.9</v>
      </c>
      <c r="I22" s="4"/>
      <c r="J22" s="5"/>
      <c r="K22" s="4"/>
      <c r="L22" s="6" t="b">
        <f aca="false">TRUE()</f>
        <v>1</v>
      </c>
      <c r="M22" s="6" t="b">
        <f aca="false">FALSE()</f>
        <v>0</v>
      </c>
      <c r="N22" s="4"/>
      <c r="O22" s="6" t="b">
        <f aca="false">TRUE()</f>
        <v>1</v>
      </c>
      <c r="P22" s="2" t="s">
        <v>109</v>
      </c>
      <c r="Q22" s="2"/>
      <c r="R22" s="2" t="s">
        <v>30</v>
      </c>
      <c r="S22" s="3"/>
      <c r="T22" s="7" t="n">
        <v>0</v>
      </c>
      <c r="U22" s="8"/>
    </row>
    <row r="23" customFormat="false" ht="15" hidden="false" customHeight="false" outlineLevel="0" collapsed="false">
      <c r="A23" s="2" t="s">
        <v>110</v>
      </c>
      <c r="B23" s="3" t="s">
        <v>60</v>
      </c>
      <c r="C23" s="2" t="s">
        <v>23</v>
      </c>
      <c r="D23" s="2" t="s">
        <v>24</v>
      </c>
      <c r="E23" s="2" t="s">
        <v>111</v>
      </c>
      <c r="F23" s="2" t="s">
        <v>112</v>
      </c>
      <c r="G23" s="4" t="s">
        <v>27</v>
      </c>
      <c r="H23" s="5" t="n">
        <v>40</v>
      </c>
      <c r="I23" s="4"/>
      <c r="J23" s="5"/>
      <c r="K23" s="4"/>
      <c r="L23" s="6" t="b">
        <f aca="false">TRUE()</f>
        <v>1</v>
      </c>
      <c r="M23" s="6" t="b">
        <f aca="false">FALSE()</f>
        <v>0</v>
      </c>
      <c r="N23" s="4"/>
      <c r="O23" s="6" t="b">
        <f aca="false">TRUE()</f>
        <v>1</v>
      </c>
      <c r="P23" s="2" t="s">
        <v>113</v>
      </c>
      <c r="Q23" s="2"/>
      <c r="R23" s="2" t="s">
        <v>30</v>
      </c>
      <c r="S23" s="3"/>
      <c r="T23" s="7" t="n">
        <v>0</v>
      </c>
      <c r="U23" s="8"/>
    </row>
    <row r="24" customFormat="false" ht="15" hidden="false" customHeight="false" outlineLevel="0" collapsed="false">
      <c r="A24" s="2" t="s">
        <v>114</v>
      </c>
      <c r="B24" s="3" t="s">
        <v>115</v>
      </c>
      <c r="C24" s="2" t="s">
        <v>106</v>
      </c>
      <c r="D24" s="2" t="s">
        <v>107</v>
      </c>
      <c r="E24" s="2"/>
      <c r="F24" s="2" t="s">
        <v>108</v>
      </c>
      <c r="G24" s="4" t="s">
        <v>89</v>
      </c>
      <c r="H24" s="5" t="n">
        <v>19</v>
      </c>
      <c r="I24" s="4"/>
      <c r="J24" s="5"/>
      <c r="K24" s="4"/>
      <c r="L24" s="6" t="b">
        <f aca="false">TRUE()</f>
        <v>1</v>
      </c>
      <c r="M24" s="6" t="b">
        <f aca="false">FALSE()</f>
        <v>0</v>
      </c>
      <c r="N24" s="4"/>
      <c r="O24" s="6" t="b">
        <f aca="false">TRUE()</f>
        <v>1</v>
      </c>
      <c r="P24" s="2" t="s">
        <v>116</v>
      </c>
      <c r="Q24" s="2"/>
      <c r="R24" s="2" t="s">
        <v>30</v>
      </c>
      <c r="S24" s="3"/>
      <c r="T24" s="7" t="n">
        <v>0</v>
      </c>
      <c r="U24" s="8"/>
    </row>
    <row r="25" customFormat="false" ht="15" hidden="false" customHeight="false" outlineLevel="0" collapsed="false">
      <c r="A25" s="2" t="s">
        <v>117</v>
      </c>
      <c r="B25" s="3" t="s">
        <v>118</v>
      </c>
      <c r="C25" s="2" t="s">
        <v>106</v>
      </c>
      <c r="D25" s="2" t="s">
        <v>107</v>
      </c>
      <c r="E25" s="2"/>
      <c r="F25" s="2" t="s">
        <v>108</v>
      </c>
      <c r="G25" s="4" t="s">
        <v>89</v>
      </c>
      <c r="H25" s="5" t="n">
        <v>34.6</v>
      </c>
      <c r="I25" s="4"/>
      <c r="J25" s="5"/>
      <c r="K25" s="4"/>
      <c r="L25" s="6" t="b">
        <f aca="false">TRUE()</f>
        <v>1</v>
      </c>
      <c r="M25" s="6" t="b">
        <f aca="false">FALSE()</f>
        <v>0</v>
      </c>
      <c r="N25" s="4"/>
      <c r="O25" s="6" t="b">
        <f aca="false">TRUE()</f>
        <v>1</v>
      </c>
      <c r="P25" s="2" t="s">
        <v>119</v>
      </c>
      <c r="Q25" s="2"/>
      <c r="R25" s="2" t="s">
        <v>30</v>
      </c>
      <c r="S25" s="3"/>
      <c r="T25" s="7" t="n">
        <v>0</v>
      </c>
      <c r="U25" s="8"/>
    </row>
    <row r="26" customFormat="false" ht="15" hidden="false" customHeight="false" outlineLevel="0" collapsed="false">
      <c r="A26" s="2" t="s">
        <v>120</v>
      </c>
      <c r="B26" s="3" t="s">
        <v>121</v>
      </c>
      <c r="C26" s="2" t="s">
        <v>106</v>
      </c>
      <c r="D26" s="2" t="s">
        <v>107</v>
      </c>
      <c r="E26" s="2"/>
      <c r="F26" s="2" t="s">
        <v>108</v>
      </c>
      <c r="G26" s="4" t="s">
        <v>89</v>
      </c>
      <c r="H26" s="5" t="n">
        <v>79.9</v>
      </c>
      <c r="I26" s="4"/>
      <c r="J26" s="5"/>
      <c r="K26" s="4"/>
      <c r="L26" s="6" t="b">
        <f aca="false">TRUE()</f>
        <v>1</v>
      </c>
      <c r="M26" s="6" t="b">
        <f aca="false">FALSE()</f>
        <v>0</v>
      </c>
      <c r="N26" s="4"/>
      <c r="O26" s="6" t="b">
        <f aca="false">TRUE()</f>
        <v>1</v>
      </c>
      <c r="P26" s="2" t="s">
        <v>122</v>
      </c>
      <c r="Q26" s="2"/>
      <c r="R26" s="2" t="s">
        <v>30</v>
      </c>
      <c r="S26" s="3"/>
      <c r="T26" s="7" t="n">
        <v>0</v>
      </c>
      <c r="U26" s="8"/>
    </row>
    <row r="27" customFormat="false" ht="23.85" hidden="false" customHeight="false" outlineLevel="0" collapsed="false">
      <c r="A27" s="2" t="s">
        <v>123</v>
      </c>
      <c r="B27" s="3" t="s">
        <v>124</v>
      </c>
      <c r="C27" s="2" t="s">
        <v>106</v>
      </c>
      <c r="D27" s="2" t="s">
        <v>107</v>
      </c>
      <c r="E27" s="2"/>
      <c r="F27" s="2" t="s">
        <v>125</v>
      </c>
      <c r="G27" s="4" t="s">
        <v>89</v>
      </c>
      <c r="H27" s="5" t="n">
        <v>26.8</v>
      </c>
      <c r="I27" s="4"/>
      <c r="J27" s="5"/>
      <c r="K27" s="4"/>
      <c r="L27" s="6" t="b">
        <f aca="false">TRUE()</f>
        <v>1</v>
      </c>
      <c r="M27" s="6" t="b">
        <f aca="false">FALSE()</f>
        <v>0</v>
      </c>
      <c r="N27" s="4"/>
      <c r="O27" s="6" t="b">
        <f aca="false">TRUE()</f>
        <v>1</v>
      </c>
      <c r="P27" s="2" t="s">
        <v>126</v>
      </c>
      <c r="Q27" s="2"/>
      <c r="R27" s="9" t="s">
        <v>127</v>
      </c>
      <c r="S27" s="3" t="s">
        <v>128</v>
      </c>
      <c r="T27" s="7" t="n">
        <v>0</v>
      </c>
      <c r="U27" s="8"/>
    </row>
    <row r="28" customFormat="false" ht="15" hidden="false" customHeight="false" outlineLevel="0" collapsed="false">
      <c r="A28" s="2" t="s">
        <v>129</v>
      </c>
      <c r="B28" s="3" t="s">
        <v>130</v>
      </c>
      <c r="C28" s="2" t="s">
        <v>131</v>
      </c>
      <c r="D28" s="2" t="s">
        <v>132</v>
      </c>
      <c r="E28" s="2"/>
      <c r="F28" s="2" t="s">
        <v>133</v>
      </c>
      <c r="G28" s="4" t="s">
        <v>27</v>
      </c>
      <c r="H28" s="5" t="n">
        <v>20</v>
      </c>
      <c r="I28" s="4"/>
      <c r="J28" s="5"/>
      <c r="K28" s="4"/>
      <c r="L28" s="6" t="b">
        <f aca="false">TRUE()</f>
        <v>1</v>
      </c>
      <c r="M28" s="6" t="b">
        <f aca="false">FALSE()</f>
        <v>0</v>
      </c>
      <c r="N28" s="4"/>
      <c r="O28" s="6" t="b">
        <f aca="false">TRUE()</f>
        <v>1</v>
      </c>
      <c r="P28" s="2" t="s">
        <v>134</v>
      </c>
      <c r="Q28" s="2"/>
      <c r="R28" s="2" t="s">
        <v>30</v>
      </c>
      <c r="S28" s="3"/>
      <c r="T28" s="7" t="n">
        <v>0</v>
      </c>
      <c r="U28" s="8"/>
    </row>
    <row r="29" customFormat="false" ht="15" hidden="false" customHeight="false" outlineLevel="0" collapsed="false">
      <c r="A29" s="2" t="s">
        <v>135</v>
      </c>
      <c r="B29" s="3" t="s">
        <v>136</v>
      </c>
      <c r="C29" s="2" t="s">
        <v>23</v>
      </c>
      <c r="D29" s="2" t="s">
        <v>24</v>
      </c>
      <c r="E29" s="2" t="s">
        <v>25</v>
      </c>
      <c r="F29" s="2" t="s">
        <v>26</v>
      </c>
      <c r="G29" s="4" t="s">
        <v>27</v>
      </c>
      <c r="H29" s="5" t="n">
        <v>60</v>
      </c>
      <c r="I29" s="4"/>
      <c r="J29" s="5"/>
      <c r="K29" s="4"/>
      <c r="L29" s="6" t="b">
        <f aca="false">TRUE()</f>
        <v>1</v>
      </c>
      <c r="M29" s="6" t="b">
        <f aca="false">FALSE()</f>
        <v>0</v>
      </c>
      <c r="N29" s="4"/>
      <c r="O29" s="6" t="b">
        <f aca="false">TRUE()</f>
        <v>1</v>
      </c>
      <c r="P29" s="2" t="s">
        <v>137</v>
      </c>
      <c r="Q29" s="2" t="s">
        <v>138</v>
      </c>
      <c r="R29" s="2" t="s">
        <v>30</v>
      </c>
      <c r="S29" s="3"/>
      <c r="T29" s="7" t="n">
        <v>37</v>
      </c>
      <c r="U29" s="8"/>
    </row>
    <row r="30" customFormat="false" ht="15" hidden="false" customHeight="false" outlineLevel="0" collapsed="false">
      <c r="A30" s="2" t="s">
        <v>139</v>
      </c>
      <c r="B30" s="3" t="s">
        <v>140</v>
      </c>
      <c r="C30" s="2" t="s">
        <v>106</v>
      </c>
      <c r="D30" s="2" t="s">
        <v>107</v>
      </c>
      <c r="E30" s="2"/>
      <c r="F30" s="2" t="s">
        <v>108</v>
      </c>
      <c r="G30" s="4" t="s">
        <v>89</v>
      </c>
      <c r="H30" s="5" t="n">
        <v>65</v>
      </c>
      <c r="I30" s="4"/>
      <c r="J30" s="5"/>
      <c r="K30" s="4"/>
      <c r="L30" s="6" t="b">
        <f aca="false">TRUE()</f>
        <v>1</v>
      </c>
      <c r="M30" s="6" t="b">
        <f aca="false">FALSE()</f>
        <v>0</v>
      </c>
      <c r="N30" s="4"/>
      <c r="O30" s="6" t="b">
        <f aca="false">TRUE()</f>
        <v>1</v>
      </c>
      <c r="P30" s="2" t="s">
        <v>141</v>
      </c>
      <c r="Q30" s="2"/>
      <c r="R30" s="2" t="s">
        <v>30</v>
      </c>
      <c r="S30" s="3"/>
      <c r="T30" s="7" t="n">
        <v>0.4</v>
      </c>
      <c r="U30" s="8"/>
    </row>
    <row r="31" customFormat="false" ht="15" hidden="false" customHeight="false" outlineLevel="0" collapsed="false">
      <c r="A31" s="2" t="s">
        <v>142</v>
      </c>
      <c r="B31" s="3" t="s">
        <v>143</v>
      </c>
      <c r="C31" s="2" t="s">
        <v>131</v>
      </c>
      <c r="D31" s="2" t="s">
        <v>132</v>
      </c>
      <c r="E31" s="2" t="s">
        <v>144</v>
      </c>
      <c r="F31" s="2" t="s">
        <v>145</v>
      </c>
      <c r="G31" s="4" t="s">
        <v>27</v>
      </c>
      <c r="H31" s="5" t="n">
        <v>28</v>
      </c>
      <c r="I31" s="4"/>
      <c r="J31" s="5"/>
      <c r="K31" s="4"/>
      <c r="L31" s="6" t="b">
        <f aca="false">TRUE()</f>
        <v>1</v>
      </c>
      <c r="M31" s="6" t="b">
        <f aca="false">FALSE()</f>
        <v>0</v>
      </c>
      <c r="N31" s="4"/>
      <c r="O31" s="6" t="b">
        <f aca="false">TRUE()</f>
        <v>1</v>
      </c>
      <c r="P31" s="2" t="s">
        <v>146</v>
      </c>
      <c r="Q31" s="2"/>
      <c r="R31" s="2" t="s">
        <v>30</v>
      </c>
      <c r="S31" s="3"/>
      <c r="T31" s="7" t="n">
        <v>0</v>
      </c>
      <c r="U31" s="8"/>
    </row>
    <row r="32" customFormat="false" ht="15" hidden="false" customHeight="false" outlineLevel="0" collapsed="false">
      <c r="A32" s="2" t="s">
        <v>147</v>
      </c>
      <c r="B32" s="3" t="s">
        <v>148</v>
      </c>
      <c r="C32" s="2" t="s">
        <v>106</v>
      </c>
      <c r="D32" s="2" t="s">
        <v>107</v>
      </c>
      <c r="E32" s="2"/>
      <c r="F32" s="2" t="s">
        <v>108</v>
      </c>
      <c r="G32" s="4" t="s">
        <v>89</v>
      </c>
      <c r="H32" s="5" t="n">
        <v>54.9</v>
      </c>
      <c r="I32" s="4"/>
      <c r="J32" s="5"/>
      <c r="K32" s="4"/>
      <c r="L32" s="6" t="b">
        <f aca="false">TRUE()</f>
        <v>1</v>
      </c>
      <c r="M32" s="6" t="b">
        <f aca="false">FALSE()</f>
        <v>0</v>
      </c>
      <c r="N32" s="4"/>
      <c r="O32" s="6" t="b">
        <f aca="false">TRUE()</f>
        <v>1</v>
      </c>
      <c r="P32" s="2" t="s">
        <v>149</v>
      </c>
      <c r="Q32" s="2"/>
      <c r="R32" s="2" t="s">
        <v>30</v>
      </c>
      <c r="S32" s="3"/>
      <c r="T32" s="7" t="n">
        <v>0</v>
      </c>
      <c r="U32" s="8"/>
    </row>
    <row r="33" customFormat="false" ht="15" hidden="false" customHeight="false" outlineLevel="0" collapsed="false">
      <c r="A33" s="2" t="s">
        <v>150</v>
      </c>
      <c r="B33" s="3" t="s">
        <v>151</v>
      </c>
      <c r="C33" s="2" t="s">
        <v>106</v>
      </c>
      <c r="D33" s="2" t="s">
        <v>107</v>
      </c>
      <c r="E33" s="2"/>
      <c r="F33" s="2" t="s">
        <v>108</v>
      </c>
      <c r="G33" s="4" t="s">
        <v>89</v>
      </c>
      <c r="H33" s="5" t="n">
        <v>49.9</v>
      </c>
      <c r="I33" s="4"/>
      <c r="J33" s="5"/>
      <c r="K33" s="4"/>
      <c r="L33" s="6" t="b">
        <f aca="false">TRUE()</f>
        <v>1</v>
      </c>
      <c r="M33" s="6" t="b">
        <f aca="false">FALSE()</f>
        <v>0</v>
      </c>
      <c r="N33" s="4"/>
      <c r="O33" s="6" t="b">
        <f aca="false">TRUE()</f>
        <v>1</v>
      </c>
      <c r="P33" s="2" t="s">
        <v>152</v>
      </c>
      <c r="Q33" s="2"/>
      <c r="R33" s="2" t="s">
        <v>30</v>
      </c>
      <c r="S33" s="3"/>
      <c r="T33" s="7" t="n">
        <v>0</v>
      </c>
      <c r="U33" s="8"/>
    </row>
    <row r="34" customFormat="false" ht="15" hidden="false" customHeight="false" outlineLevel="0" collapsed="false">
      <c r="A34" s="2" t="s">
        <v>153</v>
      </c>
      <c r="B34" s="3" t="s">
        <v>154</v>
      </c>
      <c r="C34" s="2" t="s">
        <v>106</v>
      </c>
      <c r="D34" s="2" t="s">
        <v>107</v>
      </c>
      <c r="E34" s="2"/>
      <c r="F34" s="2" t="s">
        <v>125</v>
      </c>
      <c r="G34" s="4" t="s">
        <v>89</v>
      </c>
      <c r="H34" s="5" t="n">
        <v>27.3</v>
      </c>
      <c r="I34" s="4"/>
      <c r="J34" s="5"/>
      <c r="K34" s="4"/>
      <c r="L34" s="6" t="b">
        <f aca="false">TRUE()</f>
        <v>1</v>
      </c>
      <c r="M34" s="6" t="b">
        <f aca="false">FALSE()</f>
        <v>0</v>
      </c>
      <c r="N34" s="4"/>
      <c r="O34" s="6" t="b">
        <f aca="false">TRUE()</f>
        <v>1</v>
      </c>
      <c r="P34" s="2" t="s">
        <v>155</v>
      </c>
      <c r="Q34" s="2"/>
      <c r="R34" s="2" t="s">
        <v>30</v>
      </c>
      <c r="S34" s="3"/>
      <c r="T34" s="7" t="n">
        <v>0</v>
      </c>
      <c r="U34" s="8"/>
    </row>
    <row r="35" customFormat="false" ht="15" hidden="false" customHeight="false" outlineLevel="0" collapsed="false">
      <c r="A35" s="2" t="s">
        <v>156</v>
      </c>
      <c r="B35" s="3" t="s">
        <v>157</v>
      </c>
      <c r="C35" s="2" t="s">
        <v>106</v>
      </c>
      <c r="D35" s="2" t="s">
        <v>107</v>
      </c>
      <c r="E35" s="2"/>
      <c r="F35" s="2" t="s">
        <v>108</v>
      </c>
      <c r="G35" s="4" t="s">
        <v>89</v>
      </c>
      <c r="H35" s="5" t="n">
        <v>96.9</v>
      </c>
      <c r="I35" s="4"/>
      <c r="J35" s="5"/>
      <c r="K35" s="4"/>
      <c r="L35" s="6" t="b">
        <f aca="false">TRUE()</f>
        <v>1</v>
      </c>
      <c r="M35" s="6" t="b">
        <f aca="false">FALSE()</f>
        <v>0</v>
      </c>
      <c r="N35" s="4"/>
      <c r="O35" s="6" t="b">
        <f aca="false">TRUE()</f>
        <v>1</v>
      </c>
      <c r="P35" s="2" t="s">
        <v>158</v>
      </c>
      <c r="Q35" s="2"/>
      <c r="R35" s="2" t="s">
        <v>30</v>
      </c>
      <c r="S35" s="3"/>
      <c r="T35" s="7" t="n">
        <v>0</v>
      </c>
      <c r="U35" s="8"/>
    </row>
    <row r="36" customFormat="false" ht="15" hidden="false" customHeight="false" outlineLevel="0" collapsed="false">
      <c r="A36" s="2" t="s">
        <v>159</v>
      </c>
      <c r="B36" s="3" t="s">
        <v>160</v>
      </c>
      <c r="C36" s="2" t="s">
        <v>106</v>
      </c>
      <c r="D36" s="2" t="s">
        <v>107</v>
      </c>
      <c r="E36" s="2"/>
      <c r="F36" s="2" t="s">
        <v>161</v>
      </c>
      <c r="G36" s="4" t="s">
        <v>27</v>
      </c>
      <c r="H36" s="5" t="n">
        <v>24</v>
      </c>
      <c r="I36" s="4"/>
      <c r="J36" s="5"/>
      <c r="K36" s="4"/>
      <c r="L36" s="6" t="b">
        <f aca="false">TRUE()</f>
        <v>1</v>
      </c>
      <c r="M36" s="6" t="b">
        <f aca="false">FALSE()</f>
        <v>0</v>
      </c>
      <c r="N36" s="4"/>
      <c r="O36" s="6" t="b">
        <f aca="false">TRUE()</f>
        <v>1</v>
      </c>
      <c r="P36" s="2" t="s">
        <v>162</v>
      </c>
      <c r="Q36" s="2"/>
      <c r="R36" s="2" t="s">
        <v>30</v>
      </c>
      <c r="S36" s="3"/>
      <c r="T36" s="7" t="n">
        <v>0</v>
      </c>
      <c r="U36" s="8"/>
    </row>
    <row r="37" customFormat="false" ht="15" hidden="false" customHeight="false" outlineLevel="0" collapsed="false">
      <c r="A37" s="2" t="s">
        <v>163</v>
      </c>
      <c r="B37" s="3" t="s">
        <v>164</v>
      </c>
      <c r="C37" s="2" t="s">
        <v>106</v>
      </c>
      <c r="D37" s="2" t="s">
        <v>107</v>
      </c>
      <c r="E37" s="2"/>
      <c r="F37" s="2" t="s">
        <v>108</v>
      </c>
      <c r="G37" s="4" t="s">
        <v>89</v>
      </c>
      <c r="H37" s="5" t="n">
        <v>23</v>
      </c>
      <c r="I37" s="4"/>
      <c r="J37" s="5"/>
      <c r="K37" s="4"/>
      <c r="L37" s="6" t="b">
        <f aca="false">TRUE()</f>
        <v>1</v>
      </c>
      <c r="M37" s="6" t="b">
        <f aca="false">FALSE()</f>
        <v>0</v>
      </c>
      <c r="N37" s="4"/>
      <c r="O37" s="6" t="b">
        <f aca="false">TRUE()</f>
        <v>1</v>
      </c>
      <c r="P37" s="2" t="s">
        <v>165</v>
      </c>
      <c r="Q37" s="2"/>
      <c r="R37" s="2" t="s">
        <v>30</v>
      </c>
      <c r="S37" s="3"/>
      <c r="T37" s="7" t="n">
        <v>0</v>
      </c>
      <c r="U37" s="8"/>
    </row>
    <row r="38" customFormat="false" ht="15" hidden="false" customHeight="false" outlineLevel="0" collapsed="false">
      <c r="A38" s="2" t="s">
        <v>166</v>
      </c>
      <c r="B38" s="3" t="s">
        <v>167</v>
      </c>
      <c r="C38" s="2" t="s">
        <v>106</v>
      </c>
      <c r="D38" s="2" t="s">
        <v>107</v>
      </c>
      <c r="E38" s="2"/>
      <c r="F38" s="2" t="s">
        <v>108</v>
      </c>
      <c r="G38" s="4" t="s">
        <v>89</v>
      </c>
      <c r="H38" s="5" t="n">
        <v>139.9</v>
      </c>
      <c r="I38" s="4"/>
      <c r="J38" s="5"/>
      <c r="K38" s="4"/>
      <c r="L38" s="6" t="b">
        <f aca="false">TRUE()</f>
        <v>1</v>
      </c>
      <c r="M38" s="6" t="b">
        <f aca="false">FALSE()</f>
        <v>0</v>
      </c>
      <c r="N38" s="4"/>
      <c r="O38" s="6" t="b">
        <f aca="false">TRUE()</f>
        <v>1</v>
      </c>
      <c r="P38" s="2" t="s">
        <v>168</v>
      </c>
      <c r="Q38" s="2"/>
      <c r="R38" s="2" t="s">
        <v>30</v>
      </c>
      <c r="S38" s="3"/>
      <c r="T38" s="7" t="n">
        <v>0</v>
      </c>
      <c r="U38" s="8"/>
    </row>
    <row r="39" customFormat="false" ht="15" hidden="false" customHeight="false" outlineLevel="0" collapsed="false">
      <c r="A39" s="2" t="s">
        <v>169</v>
      </c>
      <c r="B39" s="3" t="s">
        <v>170</v>
      </c>
      <c r="C39" s="2" t="s">
        <v>106</v>
      </c>
      <c r="D39" s="2" t="s">
        <v>107</v>
      </c>
      <c r="E39" s="2"/>
      <c r="F39" s="2" t="s">
        <v>108</v>
      </c>
      <c r="G39" s="4" t="s">
        <v>89</v>
      </c>
      <c r="H39" s="5" t="n">
        <v>98</v>
      </c>
      <c r="I39" s="4"/>
      <c r="J39" s="5"/>
      <c r="K39" s="4"/>
      <c r="L39" s="6" t="b">
        <f aca="false">TRUE()</f>
        <v>1</v>
      </c>
      <c r="M39" s="6" t="b">
        <f aca="false">FALSE()</f>
        <v>0</v>
      </c>
      <c r="N39" s="4"/>
      <c r="O39" s="6" t="b">
        <f aca="false">TRUE()</f>
        <v>1</v>
      </c>
      <c r="P39" s="2" t="s">
        <v>171</v>
      </c>
      <c r="Q39" s="2"/>
      <c r="R39" s="2" t="s">
        <v>30</v>
      </c>
      <c r="S39" s="3"/>
      <c r="T39" s="7" t="n">
        <v>0</v>
      </c>
      <c r="U39" s="8"/>
    </row>
    <row r="40" customFormat="false" ht="23.85" hidden="false" customHeight="false" outlineLevel="0" collapsed="false">
      <c r="A40" s="2" t="s">
        <v>172</v>
      </c>
      <c r="B40" s="3" t="s">
        <v>124</v>
      </c>
      <c r="C40" s="2" t="s">
        <v>106</v>
      </c>
      <c r="D40" s="2" t="s">
        <v>107</v>
      </c>
      <c r="E40" s="2"/>
      <c r="F40" s="2" t="s">
        <v>173</v>
      </c>
      <c r="G40" s="4" t="s">
        <v>89</v>
      </c>
      <c r="H40" s="5" t="n">
        <v>54</v>
      </c>
      <c r="I40" s="4"/>
      <c r="J40" s="5"/>
      <c r="K40" s="4"/>
      <c r="L40" s="6" t="b">
        <f aca="false">TRUE()</f>
        <v>1</v>
      </c>
      <c r="M40" s="6" t="b">
        <f aca="false">FALSE()</f>
        <v>0</v>
      </c>
      <c r="N40" s="4"/>
      <c r="O40" s="6" t="b">
        <f aca="false">TRUE()</f>
        <v>1</v>
      </c>
      <c r="P40" s="2" t="s">
        <v>174</v>
      </c>
      <c r="Q40" s="2"/>
      <c r="R40" s="9" t="s">
        <v>127</v>
      </c>
      <c r="S40" s="3" t="s">
        <v>175</v>
      </c>
      <c r="T40" s="7" t="n">
        <v>0</v>
      </c>
      <c r="U40" s="8"/>
    </row>
    <row r="41" customFormat="false" ht="15" hidden="false" customHeight="false" outlineLevel="0" collapsed="false">
      <c r="A41" s="2" t="s">
        <v>176</v>
      </c>
      <c r="B41" s="3" t="s">
        <v>177</v>
      </c>
      <c r="C41" s="2" t="s">
        <v>106</v>
      </c>
      <c r="D41" s="2" t="s">
        <v>107</v>
      </c>
      <c r="E41" s="2"/>
      <c r="F41" s="2" t="s">
        <v>108</v>
      </c>
      <c r="G41" s="4" t="s">
        <v>89</v>
      </c>
      <c r="H41" s="5" t="n">
        <v>38</v>
      </c>
      <c r="I41" s="4"/>
      <c r="J41" s="5"/>
      <c r="K41" s="4"/>
      <c r="L41" s="6" t="b">
        <f aca="false">TRUE()</f>
        <v>1</v>
      </c>
      <c r="M41" s="6" t="b">
        <f aca="false">FALSE()</f>
        <v>0</v>
      </c>
      <c r="N41" s="4"/>
      <c r="O41" s="6" t="b">
        <f aca="false">TRUE()</f>
        <v>1</v>
      </c>
      <c r="P41" s="2" t="s">
        <v>178</v>
      </c>
      <c r="Q41" s="2"/>
      <c r="R41" s="2" t="s">
        <v>30</v>
      </c>
      <c r="S41" s="3"/>
      <c r="T41" s="7" t="n">
        <v>0</v>
      </c>
      <c r="U41" s="8"/>
    </row>
    <row r="42" customFormat="false" ht="15" hidden="false" customHeight="false" outlineLevel="0" collapsed="false">
      <c r="A42" s="2" t="s">
        <v>179</v>
      </c>
      <c r="B42" s="3" t="s">
        <v>180</v>
      </c>
      <c r="C42" s="2" t="s">
        <v>106</v>
      </c>
      <c r="D42" s="2" t="s">
        <v>107</v>
      </c>
      <c r="E42" s="2"/>
      <c r="F42" s="2" t="s">
        <v>108</v>
      </c>
      <c r="G42" s="4" t="s">
        <v>89</v>
      </c>
      <c r="H42" s="5" t="n">
        <v>46.9</v>
      </c>
      <c r="I42" s="4"/>
      <c r="J42" s="5"/>
      <c r="K42" s="4"/>
      <c r="L42" s="6" t="b">
        <f aca="false">TRUE()</f>
        <v>1</v>
      </c>
      <c r="M42" s="6" t="b">
        <f aca="false">FALSE()</f>
        <v>0</v>
      </c>
      <c r="N42" s="4"/>
      <c r="O42" s="6" t="b">
        <f aca="false">TRUE()</f>
        <v>1</v>
      </c>
      <c r="P42" s="2" t="s">
        <v>181</v>
      </c>
      <c r="Q42" s="2"/>
      <c r="R42" s="2" t="s">
        <v>30</v>
      </c>
      <c r="S42" s="3"/>
      <c r="T42" s="7" t="n">
        <v>0</v>
      </c>
      <c r="U42" s="8"/>
    </row>
    <row r="43" customFormat="false" ht="15" hidden="false" customHeight="false" outlineLevel="0" collapsed="false">
      <c r="A43" s="2" t="s">
        <v>182</v>
      </c>
      <c r="B43" s="3" t="s">
        <v>183</v>
      </c>
      <c r="C43" s="2" t="s">
        <v>106</v>
      </c>
      <c r="D43" s="2" t="s">
        <v>107</v>
      </c>
      <c r="E43" s="2"/>
      <c r="F43" s="2" t="s">
        <v>108</v>
      </c>
      <c r="G43" s="4" t="s">
        <v>89</v>
      </c>
      <c r="H43" s="5" t="n">
        <v>88.9</v>
      </c>
      <c r="I43" s="4"/>
      <c r="J43" s="5"/>
      <c r="K43" s="4"/>
      <c r="L43" s="6" t="b">
        <f aca="false">TRUE()</f>
        <v>1</v>
      </c>
      <c r="M43" s="6" t="b">
        <f aca="false">FALSE()</f>
        <v>0</v>
      </c>
      <c r="N43" s="4"/>
      <c r="O43" s="6" t="b">
        <f aca="false">TRUE()</f>
        <v>1</v>
      </c>
      <c r="P43" s="2" t="s">
        <v>184</v>
      </c>
      <c r="Q43" s="2"/>
      <c r="R43" s="2" t="s">
        <v>30</v>
      </c>
      <c r="S43" s="3"/>
      <c r="T43" s="7" t="n">
        <v>0</v>
      </c>
      <c r="U43" s="8"/>
    </row>
    <row r="44" customFormat="false" ht="15" hidden="false" customHeight="false" outlineLevel="0" collapsed="false">
      <c r="A44" s="2" t="s">
        <v>185</v>
      </c>
      <c r="B44" s="3" t="s">
        <v>186</v>
      </c>
      <c r="C44" s="2" t="s">
        <v>23</v>
      </c>
      <c r="D44" s="2" t="s">
        <v>24</v>
      </c>
      <c r="E44" s="2" t="s">
        <v>25</v>
      </c>
      <c r="F44" s="2" t="s">
        <v>26</v>
      </c>
      <c r="G44" s="4" t="s">
        <v>27</v>
      </c>
      <c r="H44" s="5" t="n">
        <v>40</v>
      </c>
      <c r="I44" s="4"/>
      <c r="J44" s="5"/>
      <c r="K44" s="4"/>
      <c r="L44" s="6" t="b">
        <f aca="false">TRUE()</f>
        <v>1</v>
      </c>
      <c r="M44" s="6" t="b">
        <f aca="false">FALSE()</f>
        <v>0</v>
      </c>
      <c r="N44" s="4"/>
      <c r="O44" s="6" t="b">
        <f aca="false">TRUE()</f>
        <v>1</v>
      </c>
      <c r="P44" s="2" t="s">
        <v>187</v>
      </c>
      <c r="Q44" s="2" t="s">
        <v>188</v>
      </c>
      <c r="R44" s="2" t="s">
        <v>30</v>
      </c>
      <c r="S44" s="3"/>
      <c r="T44" s="7" t="n">
        <v>0</v>
      </c>
      <c r="U44" s="8" t="n">
        <v>50</v>
      </c>
    </row>
    <row r="45" customFormat="false" ht="15" hidden="false" customHeight="false" outlineLevel="0" collapsed="false">
      <c r="A45" s="2" t="s">
        <v>189</v>
      </c>
      <c r="B45" s="3" t="s">
        <v>190</v>
      </c>
      <c r="C45" s="2" t="s">
        <v>106</v>
      </c>
      <c r="D45" s="2" t="s">
        <v>107</v>
      </c>
      <c r="E45" s="2" t="s">
        <v>191</v>
      </c>
      <c r="F45" s="2" t="s">
        <v>192</v>
      </c>
      <c r="G45" s="4" t="s">
        <v>89</v>
      </c>
      <c r="H45" s="5" t="n">
        <v>80</v>
      </c>
      <c r="I45" s="4"/>
      <c r="J45" s="5"/>
      <c r="K45" s="4"/>
      <c r="L45" s="6" t="b">
        <f aca="false">TRUE()</f>
        <v>1</v>
      </c>
      <c r="M45" s="6" t="b">
        <f aca="false">FALSE()</f>
        <v>0</v>
      </c>
      <c r="N45" s="4"/>
      <c r="O45" s="6" t="b">
        <f aca="false">TRUE()</f>
        <v>1</v>
      </c>
      <c r="P45" s="2" t="s">
        <v>193</v>
      </c>
      <c r="Q45" s="2"/>
      <c r="R45" s="2" t="s">
        <v>30</v>
      </c>
      <c r="S45" s="3"/>
      <c r="T45" s="7" t="n">
        <v>0</v>
      </c>
      <c r="U45" s="8"/>
    </row>
    <row r="46" customFormat="false" ht="15" hidden="false" customHeight="false" outlineLevel="0" collapsed="false">
      <c r="A46" s="2" t="s">
        <v>194</v>
      </c>
      <c r="B46" s="3" t="s">
        <v>68</v>
      </c>
      <c r="C46" s="2" t="s">
        <v>23</v>
      </c>
      <c r="D46" s="2" t="s">
        <v>24</v>
      </c>
      <c r="E46" s="2" t="s">
        <v>195</v>
      </c>
      <c r="F46" s="2" t="s">
        <v>26</v>
      </c>
      <c r="G46" s="4" t="s">
        <v>27</v>
      </c>
      <c r="H46" s="5" t="n">
        <v>25</v>
      </c>
      <c r="I46" s="4"/>
      <c r="J46" s="5"/>
      <c r="K46" s="4"/>
      <c r="L46" s="6" t="b">
        <f aca="false">TRUE()</f>
        <v>1</v>
      </c>
      <c r="M46" s="6" t="b">
        <f aca="false">FALSE()</f>
        <v>0</v>
      </c>
      <c r="N46" s="4"/>
      <c r="O46" s="6" t="b">
        <f aca="false">TRUE()</f>
        <v>1</v>
      </c>
      <c r="P46" s="2" t="s">
        <v>196</v>
      </c>
      <c r="Q46" s="2"/>
      <c r="R46" s="2" t="s">
        <v>30</v>
      </c>
      <c r="S46" s="3"/>
      <c r="T46" s="7" t="n">
        <v>0</v>
      </c>
      <c r="U46" s="8"/>
    </row>
    <row r="47" customFormat="false" ht="15" hidden="false" customHeight="false" outlineLevel="0" collapsed="false">
      <c r="A47" s="2" t="s">
        <v>197</v>
      </c>
      <c r="B47" s="3" t="s">
        <v>198</v>
      </c>
      <c r="C47" s="2" t="s">
        <v>199</v>
      </c>
      <c r="D47" s="2" t="s">
        <v>200</v>
      </c>
      <c r="E47" s="2"/>
      <c r="F47" s="2" t="s">
        <v>88</v>
      </c>
      <c r="G47" s="4" t="s">
        <v>89</v>
      </c>
      <c r="H47" s="5" t="n">
        <v>25</v>
      </c>
      <c r="I47" s="4"/>
      <c r="J47" s="5"/>
      <c r="K47" s="4"/>
      <c r="L47" s="6" t="b">
        <f aca="false">TRUE()</f>
        <v>1</v>
      </c>
      <c r="M47" s="6" t="b">
        <f aca="false">FALSE()</f>
        <v>0</v>
      </c>
      <c r="N47" s="4"/>
      <c r="O47" s="6" t="b">
        <f aca="false">TRUE()</f>
        <v>1</v>
      </c>
      <c r="P47" s="2" t="s">
        <v>201</v>
      </c>
      <c r="Q47" s="2"/>
      <c r="R47" s="2" t="s">
        <v>30</v>
      </c>
      <c r="S47" s="3"/>
      <c r="T47" s="7" t="n">
        <v>0</v>
      </c>
      <c r="U47" s="8"/>
    </row>
    <row r="48" customFormat="false" ht="15" hidden="false" customHeight="false" outlineLevel="0" collapsed="false">
      <c r="A48" s="2" t="s">
        <v>202</v>
      </c>
      <c r="B48" s="3" t="s">
        <v>203</v>
      </c>
      <c r="C48" s="2" t="s">
        <v>199</v>
      </c>
      <c r="D48" s="2" t="s">
        <v>200</v>
      </c>
      <c r="E48" s="2"/>
      <c r="F48" s="2" t="s">
        <v>204</v>
      </c>
      <c r="G48" s="4" t="s">
        <v>89</v>
      </c>
      <c r="H48" s="5" t="n">
        <v>48</v>
      </c>
      <c r="I48" s="4"/>
      <c r="J48" s="5"/>
      <c r="K48" s="4"/>
      <c r="L48" s="6" t="b">
        <f aca="false">TRUE()</f>
        <v>1</v>
      </c>
      <c r="M48" s="6" t="b">
        <f aca="false">FALSE()</f>
        <v>0</v>
      </c>
      <c r="N48" s="4"/>
      <c r="O48" s="6" t="b">
        <f aca="false">TRUE()</f>
        <v>1</v>
      </c>
      <c r="P48" s="2" t="s">
        <v>205</v>
      </c>
      <c r="Q48" s="2"/>
      <c r="R48" s="2" t="s">
        <v>30</v>
      </c>
      <c r="S48" s="3"/>
      <c r="T48" s="7" t="n">
        <v>2</v>
      </c>
      <c r="U48" s="8"/>
    </row>
    <row r="49" customFormat="false" ht="15" hidden="false" customHeight="false" outlineLevel="0" collapsed="false">
      <c r="A49" s="2" t="s">
        <v>206</v>
      </c>
      <c r="B49" s="3" t="s">
        <v>130</v>
      </c>
      <c r="C49" s="2" t="s">
        <v>131</v>
      </c>
      <c r="D49" s="2" t="s">
        <v>132</v>
      </c>
      <c r="E49" s="2"/>
      <c r="F49" s="2" t="s">
        <v>207</v>
      </c>
      <c r="G49" s="4" t="s">
        <v>89</v>
      </c>
      <c r="H49" s="5" t="n">
        <v>71.61</v>
      </c>
      <c r="I49" s="4"/>
      <c r="J49" s="5"/>
      <c r="K49" s="4"/>
      <c r="L49" s="6" t="b">
        <f aca="false">TRUE()</f>
        <v>1</v>
      </c>
      <c r="M49" s="6" t="b">
        <f aca="false">FALSE()</f>
        <v>0</v>
      </c>
      <c r="N49" s="4"/>
      <c r="O49" s="6" t="b">
        <f aca="false">TRUE()</f>
        <v>1</v>
      </c>
      <c r="P49" s="2" t="s">
        <v>208</v>
      </c>
      <c r="Q49" s="2"/>
      <c r="R49" s="2" t="s">
        <v>30</v>
      </c>
      <c r="S49" s="3"/>
      <c r="T49" s="7" t="n">
        <v>0</v>
      </c>
      <c r="U49" s="8"/>
    </row>
    <row r="50" customFormat="false" ht="15" hidden="false" customHeight="false" outlineLevel="0" collapsed="false">
      <c r="A50" s="2" t="s">
        <v>209</v>
      </c>
      <c r="B50" s="3" t="s">
        <v>210</v>
      </c>
      <c r="C50" s="2" t="s">
        <v>106</v>
      </c>
      <c r="D50" s="2" t="s">
        <v>107</v>
      </c>
      <c r="E50" s="2"/>
      <c r="F50" s="2" t="s">
        <v>108</v>
      </c>
      <c r="G50" s="4" t="s">
        <v>89</v>
      </c>
      <c r="H50" s="5" t="n">
        <v>42</v>
      </c>
      <c r="I50" s="4"/>
      <c r="J50" s="5"/>
      <c r="K50" s="4"/>
      <c r="L50" s="6" t="b">
        <f aca="false">TRUE()</f>
        <v>1</v>
      </c>
      <c r="M50" s="6" t="b">
        <f aca="false">FALSE()</f>
        <v>0</v>
      </c>
      <c r="N50" s="4"/>
      <c r="O50" s="6" t="b">
        <f aca="false">TRUE()</f>
        <v>1</v>
      </c>
      <c r="P50" s="2" t="s">
        <v>211</v>
      </c>
      <c r="Q50" s="2"/>
      <c r="R50" s="2" t="s">
        <v>30</v>
      </c>
      <c r="S50" s="3"/>
      <c r="T50" s="7" t="n">
        <v>0</v>
      </c>
      <c r="U50" s="8"/>
    </row>
    <row r="51" customFormat="false" ht="15" hidden="false" customHeight="false" outlineLevel="0" collapsed="false">
      <c r="A51" s="2" t="s">
        <v>212</v>
      </c>
      <c r="B51" s="3" t="s">
        <v>213</v>
      </c>
      <c r="C51" s="2" t="s">
        <v>106</v>
      </c>
      <c r="D51" s="2" t="s">
        <v>107</v>
      </c>
      <c r="E51" s="2"/>
      <c r="F51" s="2" t="s">
        <v>145</v>
      </c>
      <c r="G51" s="4" t="s">
        <v>27</v>
      </c>
      <c r="H51" s="5" t="n">
        <v>36</v>
      </c>
      <c r="I51" s="4"/>
      <c r="J51" s="5"/>
      <c r="K51" s="4"/>
      <c r="L51" s="6" t="b">
        <f aca="false">TRUE()</f>
        <v>1</v>
      </c>
      <c r="M51" s="6" t="b">
        <f aca="false">FALSE()</f>
        <v>0</v>
      </c>
      <c r="N51" s="4"/>
      <c r="O51" s="6" t="b">
        <f aca="false">TRUE()</f>
        <v>1</v>
      </c>
      <c r="P51" s="2" t="s">
        <v>214</v>
      </c>
      <c r="Q51" s="2"/>
      <c r="R51" s="2" t="s">
        <v>30</v>
      </c>
      <c r="S51" s="3"/>
      <c r="T51" s="7" t="n">
        <v>0</v>
      </c>
      <c r="U51" s="8"/>
    </row>
    <row r="52" customFormat="false" ht="15" hidden="false" customHeight="false" outlineLevel="0" collapsed="false">
      <c r="A52" s="2" t="s">
        <v>215</v>
      </c>
      <c r="B52" s="3" t="s">
        <v>216</v>
      </c>
      <c r="C52" s="2" t="s">
        <v>106</v>
      </c>
      <c r="D52" s="2" t="s">
        <v>107</v>
      </c>
      <c r="E52" s="2"/>
      <c r="F52" s="2" t="s">
        <v>108</v>
      </c>
      <c r="G52" s="4" t="s">
        <v>89</v>
      </c>
      <c r="H52" s="5" t="n">
        <v>187.9</v>
      </c>
      <c r="I52" s="4"/>
      <c r="J52" s="5"/>
      <c r="K52" s="4"/>
      <c r="L52" s="6" t="b">
        <f aca="false">TRUE()</f>
        <v>1</v>
      </c>
      <c r="M52" s="6" t="b">
        <f aca="false">FALSE()</f>
        <v>0</v>
      </c>
      <c r="N52" s="4"/>
      <c r="O52" s="6" t="b">
        <f aca="false">TRUE()</f>
        <v>1</v>
      </c>
      <c r="P52" s="2" t="s">
        <v>217</v>
      </c>
      <c r="Q52" s="2"/>
      <c r="R52" s="2" t="s">
        <v>30</v>
      </c>
      <c r="S52" s="3"/>
      <c r="T52" s="7" t="n">
        <v>0</v>
      </c>
      <c r="U52" s="8"/>
    </row>
    <row r="53" customFormat="false" ht="15" hidden="false" customHeight="false" outlineLevel="0" collapsed="false">
      <c r="A53" s="2" t="s">
        <v>218</v>
      </c>
      <c r="B53" s="3" t="s">
        <v>219</v>
      </c>
      <c r="C53" s="2" t="s">
        <v>106</v>
      </c>
      <c r="D53" s="2" t="s">
        <v>107</v>
      </c>
      <c r="E53" s="2"/>
      <c r="F53" s="2" t="s">
        <v>108</v>
      </c>
      <c r="G53" s="4" t="s">
        <v>89</v>
      </c>
      <c r="H53" s="5" t="n">
        <v>39.9</v>
      </c>
      <c r="I53" s="4"/>
      <c r="J53" s="5"/>
      <c r="K53" s="4"/>
      <c r="L53" s="6" t="b">
        <f aca="false">TRUE()</f>
        <v>1</v>
      </c>
      <c r="M53" s="6" t="b">
        <f aca="false">FALSE()</f>
        <v>0</v>
      </c>
      <c r="N53" s="4"/>
      <c r="O53" s="6" t="b">
        <f aca="false">TRUE()</f>
        <v>1</v>
      </c>
      <c r="P53" s="2" t="s">
        <v>220</v>
      </c>
      <c r="Q53" s="2"/>
      <c r="R53" s="2" t="s">
        <v>30</v>
      </c>
      <c r="S53" s="3"/>
      <c r="T53" s="7" t="n">
        <v>0</v>
      </c>
      <c r="U53" s="8"/>
    </row>
    <row r="54" customFormat="false" ht="15" hidden="false" customHeight="false" outlineLevel="0" collapsed="false">
      <c r="A54" s="2" t="s">
        <v>221</v>
      </c>
      <c r="B54" s="3" t="s">
        <v>222</v>
      </c>
      <c r="C54" s="2" t="s">
        <v>106</v>
      </c>
      <c r="D54" s="2" t="s">
        <v>107</v>
      </c>
      <c r="E54" s="2"/>
      <c r="F54" s="2" t="s">
        <v>108</v>
      </c>
      <c r="G54" s="4" t="s">
        <v>89</v>
      </c>
      <c r="H54" s="5" t="n">
        <v>39.9</v>
      </c>
      <c r="I54" s="4"/>
      <c r="J54" s="5"/>
      <c r="K54" s="4"/>
      <c r="L54" s="6" t="b">
        <f aca="false">TRUE()</f>
        <v>1</v>
      </c>
      <c r="M54" s="6" t="b">
        <f aca="false">FALSE()</f>
        <v>0</v>
      </c>
      <c r="N54" s="4"/>
      <c r="O54" s="6" t="b">
        <f aca="false">TRUE()</f>
        <v>1</v>
      </c>
      <c r="P54" s="2" t="s">
        <v>223</v>
      </c>
      <c r="Q54" s="2"/>
      <c r="R54" s="2" t="s">
        <v>30</v>
      </c>
      <c r="S54" s="3"/>
      <c r="T54" s="7" t="n">
        <v>0</v>
      </c>
      <c r="U54" s="8"/>
    </row>
    <row r="55" customFormat="false" ht="15" hidden="false" customHeight="false" outlineLevel="0" collapsed="false">
      <c r="A55" s="2" t="s">
        <v>224</v>
      </c>
      <c r="B55" s="3" t="s">
        <v>148</v>
      </c>
      <c r="C55" s="2" t="s">
        <v>106</v>
      </c>
      <c r="D55" s="2" t="s">
        <v>107</v>
      </c>
      <c r="E55" s="2"/>
      <c r="F55" s="2" t="s">
        <v>125</v>
      </c>
      <c r="G55" s="4" t="s">
        <v>89</v>
      </c>
      <c r="H55" s="5" t="n">
        <v>35</v>
      </c>
      <c r="I55" s="4"/>
      <c r="J55" s="5"/>
      <c r="K55" s="4"/>
      <c r="L55" s="6" t="b">
        <f aca="false">TRUE()</f>
        <v>1</v>
      </c>
      <c r="M55" s="6" t="b">
        <f aca="false">FALSE()</f>
        <v>0</v>
      </c>
      <c r="N55" s="4"/>
      <c r="O55" s="6" t="b">
        <f aca="false">TRUE()</f>
        <v>1</v>
      </c>
      <c r="P55" s="2" t="s">
        <v>225</v>
      </c>
      <c r="Q55" s="2"/>
      <c r="R55" s="2" t="s">
        <v>30</v>
      </c>
      <c r="S55" s="3"/>
      <c r="T55" s="7" t="n">
        <v>0</v>
      </c>
      <c r="U55" s="8"/>
    </row>
    <row r="56" customFormat="false" ht="15" hidden="false" customHeight="false" outlineLevel="0" collapsed="false">
      <c r="A56" s="2" t="s">
        <v>226</v>
      </c>
      <c r="B56" s="3" t="s">
        <v>227</v>
      </c>
      <c r="C56" s="2" t="s">
        <v>106</v>
      </c>
      <c r="D56" s="2" t="s">
        <v>107</v>
      </c>
      <c r="E56" s="2"/>
      <c r="F56" s="2" t="s">
        <v>108</v>
      </c>
      <c r="G56" s="4" t="s">
        <v>89</v>
      </c>
      <c r="H56" s="5" t="n">
        <v>139.9</v>
      </c>
      <c r="I56" s="4"/>
      <c r="J56" s="5"/>
      <c r="K56" s="4"/>
      <c r="L56" s="6" t="b">
        <f aca="false">TRUE()</f>
        <v>1</v>
      </c>
      <c r="M56" s="6" t="b">
        <f aca="false">FALSE()</f>
        <v>0</v>
      </c>
      <c r="N56" s="4"/>
      <c r="O56" s="6" t="b">
        <f aca="false">TRUE()</f>
        <v>1</v>
      </c>
      <c r="P56" s="2" t="s">
        <v>228</v>
      </c>
      <c r="Q56" s="2"/>
      <c r="R56" s="2" t="s">
        <v>30</v>
      </c>
      <c r="S56" s="3"/>
      <c r="T56" s="7" t="n">
        <v>0</v>
      </c>
      <c r="U56" s="8"/>
    </row>
    <row r="57" customFormat="false" ht="15" hidden="false" customHeight="false" outlineLevel="0" collapsed="false">
      <c r="A57" s="2" t="s">
        <v>229</v>
      </c>
      <c r="B57" s="3" t="s">
        <v>230</v>
      </c>
      <c r="C57" s="2" t="s">
        <v>106</v>
      </c>
      <c r="D57" s="2" t="s">
        <v>107</v>
      </c>
      <c r="E57" s="2"/>
      <c r="F57" s="2" t="s">
        <v>173</v>
      </c>
      <c r="G57" s="4" t="s">
        <v>89</v>
      </c>
      <c r="H57" s="5" t="n">
        <v>16</v>
      </c>
      <c r="I57" s="4"/>
      <c r="J57" s="5"/>
      <c r="K57" s="4"/>
      <c r="L57" s="6" t="b">
        <f aca="false">TRUE()</f>
        <v>1</v>
      </c>
      <c r="M57" s="6" t="b">
        <f aca="false">FALSE()</f>
        <v>0</v>
      </c>
      <c r="N57" s="4"/>
      <c r="O57" s="6" t="b">
        <f aca="false">TRUE()</f>
        <v>1</v>
      </c>
      <c r="P57" s="2" t="s">
        <v>231</v>
      </c>
      <c r="Q57" s="2"/>
      <c r="R57" s="9" t="s">
        <v>127</v>
      </c>
      <c r="S57" s="3" t="s">
        <v>232</v>
      </c>
      <c r="T57" s="7" t="n">
        <v>0</v>
      </c>
      <c r="U57" s="8"/>
    </row>
    <row r="58" customFormat="false" ht="15" hidden="false" customHeight="false" outlineLevel="0" collapsed="false">
      <c r="A58" s="2" t="s">
        <v>233</v>
      </c>
      <c r="B58" s="3" t="s">
        <v>234</v>
      </c>
      <c r="C58" s="2" t="s">
        <v>23</v>
      </c>
      <c r="D58" s="2" t="s">
        <v>24</v>
      </c>
      <c r="E58" s="2" t="s">
        <v>25</v>
      </c>
      <c r="F58" s="2" t="s">
        <v>26</v>
      </c>
      <c r="G58" s="4" t="s">
        <v>27</v>
      </c>
      <c r="H58" s="5" t="n">
        <v>30</v>
      </c>
      <c r="I58" s="4"/>
      <c r="J58" s="5"/>
      <c r="K58" s="4"/>
      <c r="L58" s="6" t="b">
        <f aca="false">TRUE()</f>
        <v>1</v>
      </c>
      <c r="M58" s="6" t="b">
        <f aca="false">FALSE()</f>
        <v>0</v>
      </c>
      <c r="N58" s="4"/>
      <c r="O58" s="6" t="b">
        <f aca="false">TRUE()</f>
        <v>1</v>
      </c>
      <c r="P58" s="2" t="s">
        <v>235</v>
      </c>
      <c r="Q58" s="2" t="s">
        <v>236</v>
      </c>
      <c r="R58" s="2" t="s">
        <v>30</v>
      </c>
      <c r="S58" s="3"/>
      <c r="T58" s="7" t="n">
        <v>98</v>
      </c>
      <c r="U58" s="8" t="n">
        <v>38</v>
      </c>
    </row>
    <row r="59" customFormat="false" ht="15" hidden="false" customHeight="false" outlineLevel="0" collapsed="false">
      <c r="A59" s="2" t="s">
        <v>237</v>
      </c>
      <c r="B59" s="3" t="s">
        <v>56</v>
      </c>
      <c r="C59" s="2" t="s">
        <v>23</v>
      </c>
      <c r="D59" s="2" t="s">
        <v>87</v>
      </c>
      <c r="E59" s="2" t="s">
        <v>25</v>
      </c>
      <c r="F59" s="2" t="s">
        <v>88</v>
      </c>
      <c r="G59" s="4" t="s">
        <v>89</v>
      </c>
      <c r="H59" s="5" t="n">
        <v>12</v>
      </c>
      <c r="I59" s="4"/>
      <c r="J59" s="5"/>
      <c r="K59" s="4"/>
      <c r="L59" s="6" t="b">
        <f aca="false">TRUE()</f>
        <v>1</v>
      </c>
      <c r="M59" s="6" t="b">
        <f aca="false">FALSE()</f>
        <v>0</v>
      </c>
      <c r="N59" s="4"/>
      <c r="O59" s="6" t="b">
        <f aca="false">TRUE()</f>
        <v>1</v>
      </c>
      <c r="P59" s="2" t="s">
        <v>238</v>
      </c>
      <c r="Q59" s="2" t="s">
        <v>239</v>
      </c>
      <c r="R59" s="2" t="s">
        <v>30</v>
      </c>
      <c r="S59" s="3"/>
      <c r="T59" s="7" t="n">
        <v>254</v>
      </c>
      <c r="U59" s="8"/>
    </row>
    <row r="60" customFormat="false" ht="15" hidden="false" customHeight="false" outlineLevel="0" collapsed="false">
      <c r="A60" s="2" t="s">
        <v>240</v>
      </c>
      <c r="B60" s="3" t="s">
        <v>241</v>
      </c>
      <c r="C60" s="2" t="s">
        <v>23</v>
      </c>
      <c r="D60" s="2" t="s">
        <v>24</v>
      </c>
      <c r="E60" s="2" t="s">
        <v>25</v>
      </c>
      <c r="F60" s="2" t="s">
        <v>26</v>
      </c>
      <c r="G60" s="4" t="s">
        <v>27</v>
      </c>
      <c r="H60" s="5" t="n">
        <v>60</v>
      </c>
      <c r="I60" s="4"/>
      <c r="J60" s="5"/>
      <c r="K60" s="4"/>
      <c r="L60" s="6" t="b">
        <f aca="false">TRUE()</f>
        <v>1</v>
      </c>
      <c r="M60" s="6" t="b">
        <f aca="false">FALSE()</f>
        <v>0</v>
      </c>
      <c r="N60" s="4"/>
      <c r="O60" s="6" t="b">
        <f aca="false">TRUE()</f>
        <v>1</v>
      </c>
      <c r="P60" s="2" t="s">
        <v>242</v>
      </c>
      <c r="Q60" s="2" t="s">
        <v>243</v>
      </c>
      <c r="R60" s="2" t="s">
        <v>30</v>
      </c>
      <c r="S60" s="3"/>
      <c r="T60" s="7" t="n">
        <v>101</v>
      </c>
      <c r="U60" s="8" t="n">
        <v>70</v>
      </c>
    </row>
    <row r="61" customFormat="false" ht="15" hidden="false" customHeight="false" outlineLevel="0" collapsed="false">
      <c r="A61" s="2" t="s">
        <v>244</v>
      </c>
      <c r="B61" s="3" t="s">
        <v>245</v>
      </c>
      <c r="C61" s="2" t="s">
        <v>106</v>
      </c>
      <c r="D61" s="2" t="s">
        <v>107</v>
      </c>
      <c r="E61" s="2"/>
      <c r="F61" s="2" t="s">
        <v>246</v>
      </c>
      <c r="G61" s="4" t="s">
        <v>27</v>
      </c>
      <c r="H61" s="5" t="n">
        <v>20</v>
      </c>
      <c r="I61" s="4"/>
      <c r="J61" s="5"/>
      <c r="K61" s="4"/>
      <c r="L61" s="6" t="b">
        <f aca="false">TRUE()</f>
        <v>1</v>
      </c>
      <c r="M61" s="6" t="b">
        <f aca="false">FALSE()</f>
        <v>0</v>
      </c>
      <c r="N61" s="4"/>
      <c r="O61" s="6" t="b">
        <f aca="false">TRUE()</f>
        <v>1</v>
      </c>
      <c r="P61" s="2" t="s">
        <v>247</v>
      </c>
      <c r="Q61" s="2"/>
      <c r="R61" s="2" t="s">
        <v>30</v>
      </c>
      <c r="S61" s="3"/>
      <c r="T61" s="7" t="n">
        <v>0</v>
      </c>
      <c r="U61" s="8"/>
    </row>
    <row r="62" customFormat="false" ht="15" hidden="false" customHeight="false" outlineLevel="0" collapsed="false">
      <c r="A62" s="2" t="s">
        <v>248</v>
      </c>
      <c r="B62" s="3" t="s">
        <v>249</v>
      </c>
      <c r="C62" s="2" t="s">
        <v>106</v>
      </c>
      <c r="D62" s="2" t="s">
        <v>107</v>
      </c>
      <c r="E62" s="2"/>
      <c r="F62" s="2" t="s">
        <v>246</v>
      </c>
      <c r="G62" s="4" t="s">
        <v>27</v>
      </c>
      <c r="H62" s="5" t="n">
        <v>44.9</v>
      </c>
      <c r="I62" s="4"/>
      <c r="J62" s="5"/>
      <c r="K62" s="4"/>
      <c r="L62" s="6" t="b">
        <f aca="false">TRUE()</f>
        <v>1</v>
      </c>
      <c r="M62" s="6" t="b">
        <f aca="false">FALSE()</f>
        <v>0</v>
      </c>
      <c r="N62" s="4"/>
      <c r="O62" s="6" t="b">
        <f aca="false">TRUE()</f>
        <v>1</v>
      </c>
      <c r="P62" s="2" t="s">
        <v>250</v>
      </c>
      <c r="Q62" s="2"/>
      <c r="R62" s="2" t="s">
        <v>30</v>
      </c>
      <c r="S62" s="3"/>
      <c r="T62" s="7" t="n">
        <v>0</v>
      </c>
      <c r="U62" s="8"/>
    </row>
    <row r="63" customFormat="false" ht="15" hidden="false" customHeight="false" outlineLevel="0" collapsed="false">
      <c r="A63" s="2" t="s">
        <v>251</v>
      </c>
      <c r="B63" s="3" t="s">
        <v>252</v>
      </c>
      <c r="C63" s="2" t="s">
        <v>199</v>
      </c>
      <c r="D63" s="2" t="s">
        <v>200</v>
      </c>
      <c r="E63" s="2"/>
      <c r="F63" s="2" t="s">
        <v>108</v>
      </c>
      <c r="G63" s="4" t="s">
        <v>89</v>
      </c>
      <c r="H63" s="5" t="n">
        <v>50</v>
      </c>
      <c r="I63" s="4"/>
      <c r="J63" s="5"/>
      <c r="K63" s="4"/>
      <c r="L63" s="6" t="b">
        <f aca="false">TRUE()</f>
        <v>1</v>
      </c>
      <c r="M63" s="6" t="b">
        <f aca="false">FALSE()</f>
        <v>0</v>
      </c>
      <c r="N63" s="4"/>
      <c r="O63" s="6" t="b">
        <f aca="false">TRUE()</f>
        <v>1</v>
      </c>
      <c r="P63" s="2" t="s">
        <v>253</v>
      </c>
      <c r="Q63" s="2"/>
      <c r="R63" s="2" t="s">
        <v>30</v>
      </c>
      <c r="S63" s="3"/>
      <c r="T63" s="7" t="n">
        <v>0</v>
      </c>
      <c r="U63" s="8"/>
    </row>
    <row r="64" customFormat="false" ht="15" hidden="false" customHeight="false" outlineLevel="0" collapsed="false">
      <c r="A64" s="2" t="s">
        <v>254</v>
      </c>
      <c r="B64" s="3" t="s">
        <v>255</v>
      </c>
      <c r="C64" s="2" t="s">
        <v>131</v>
      </c>
      <c r="D64" s="2" t="s">
        <v>132</v>
      </c>
      <c r="E64" s="2"/>
      <c r="F64" s="2" t="s">
        <v>133</v>
      </c>
      <c r="G64" s="4" t="s">
        <v>27</v>
      </c>
      <c r="H64" s="5" t="n">
        <v>28</v>
      </c>
      <c r="I64" s="4"/>
      <c r="J64" s="5"/>
      <c r="K64" s="4"/>
      <c r="L64" s="6" t="b">
        <f aca="false">TRUE()</f>
        <v>1</v>
      </c>
      <c r="M64" s="6" t="b">
        <f aca="false">FALSE()</f>
        <v>0</v>
      </c>
      <c r="N64" s="4"/>
      <c r="O64" s="6" t="b">
        <f aca="false">TRUE()</f>
        <v>1</v>
      </c>
      <c r="P64" s="2" t="s">
        <v>256</v>
      </c>
      <c r="Q64" s="2"/>
      <c r="R64" s="2" t="s">
        <v>30</v>
      </c>
      <c r="S64" s="3"/>
      <c r="T64" s="7" t="n">
        <v>0</v>
      </c>
      <c r="U64" s="8"/>
    </row>
    <row r="65" customFormat="false" ht="15" hidden="false" customHeight="false" outlineLevel="0" collapsed="false">
      <c r="A65" s="2" t="s">
        <v>257</v>
      </c>
      <c r="B65" s="3" t="s">
        <v>258</v>
      </c>
      <c r="C65" s="2" t="s">
        <v>131</v>
      </c>
      <c r="D65" s="2" t="s">
        <v>132</v>
      </c>
      <c r="E65" s="2"/>
      <c r="F65" s="2" t="s">
        <v>133</v>
      </c>
      <c r="G65" s="4" t="s">
        <v>27</v>
      </c>
      <c r="H65" s="5" t="n">
        <v>28</v>
      </c>
      <c r="I65" s="4"/>
      <c r="J65" s="5"/>
      <c r="K65" s="4"/>
      <c r="L65" s="6" t="b">
        <f aca="false">TRUE()</f>
        <v>1</v>
      </c>
      <c r="M65" s="6" t="b">
        <f aca="false">FALSE()</f>
        <v>0</v>
      </c>
      <c r="N65" s="4"/>
      <c r="O65" s="6" t="b">
        <f aca="false">TRUE()</f>
        <v>1</v>
      </c>
      <c r="P65" s="2" t="s">
        <v>259</v>
      </c>
      <c r="Q65" s="2"/>
      <c r="R65" s="2" t="s">
        <v>30</v>
      </c>
      <c r="S65" s="3"/>
      <c r="T65" s="7" t="n">
        <v>0</v>
      </c>
      <c r="U65" s="8"/>
    </row>
    <row r="66" customFormat="false" ht="15" hidden="false" customHeight="false" outlineLevel="0" collapsed="false">
      <c r="A66" s="2" t="s">
        <v>260</v>
      </c>
      <c r="B66" s="3" t="s">
        <v>261</v>
      </c>
      <c r="C66" s="2" t="s">
        <v>131</v>
      </c>
      <c r="D66" s="2" t="s">
        <v>132</v>
      </c>
      <c r="E66" s="2"/>
      <c r="F66" s="2" t="s">
        <v>133</v>
      </c>
      <c r="G66" s="4" t="s">
        <v>262</v>
      </c>
      <c r="H66" s="5" t="n">
        <v>26</v>
      </c>
      <c r="I66" s="4"/>
      <c r="J66" s="5"/>
      <c r="K66" s="4"/>
      <c r="L66" s="6" t="b">
        <f aca="false">TRUE()</f>
        <v>1</v>
      </c>
      <c r="M66" s="6" t="b">
        <f aca="false">FALSE()</f>
        <v>0</v>
      </c>
      <c r="N66" s="4"/>
      <c r="O66" s="6" t="b">
        <f aca="false">TRUE()</f>
        <v>1</v>
      </c>
      <c r="P66" s="2" t="s">
        <v>263</v>
      </c>
      <c r="Q66" s="2"/>
      <c r="R66" s="2" t="s">
        <v>30</v>
      </c>
      <c r="S66" s="3"/>
      <c r="T66" s="7" t="n">
        <v>0</v>
      </c>
      <c r="U66" s="8"/>
    </row>
    <row r="67" customFormat="false" ht="15" hidden="false" customHeight="false" outlineLevel="0" collapsed="false">
      <c r="A67" s="2" t="s">
        <v>264</v>
      </c>
      <c r="B67" s="3" t="s">
        <v>265</v>
      </c>
      <c r="C67" s="2" t="s">
        <v>131</v>
      </c>
      <c r="D67" s="2" t="s">
        <v>132</v>
      </c>
      <c r="E67" s="2"/>
      <c r="F67" s="2" t="s">
        <v>133</v>
      </c>
      <c r="G67" s="4" t="s">
        <v>27</v>
      </c>
      <c r="H67" s="5" t="n">
        <v>28</v>
      </c>
      <c r="I67" s="4"/>
      <c r="J67" s="5"/>
      <c r="K67" s="4"/>
      <c r="L67" s="6" t="b">
        <f aca="false">TRUE()</f>
        <v>1</v>
      </c>
      <c r="M67" s="6" t="b">
        <f aca="false">FALSE()</f>
        <v>0</v>
      </c>
      <c r="N67" s="4"/>
      <c r="O67" s="6" t="b">
        <f aca="false">TRUE()</f>
        <v>1</v>
      </c>
      <c r="P67" s="2" t="s">
        <v>266</v>
      </c>
      <c r="Q67" s="2"/>
      <c r="R67" s="2" t="s">
        <v>30</v>
      </c>
      <c r="S67" s="3"/>
      <c r="T67" s="7" t="n">
        <v>0</v>
      </c>
      <c r="U67" s="8"/>
    </row>
    <row r="68" customFormat="false" ht="15" hidden="false" customHeight="false" outlineLevel="0" collapsed="false">
      <c r="A68" s="2" t="s">
        <v>267</v>
      </c>
      <c r="B68" s="3" t="s">
        <v>268</v>
      </c>
      <c r="C68" s="2" t="s">
        <v>131</v>
      </c>
      <c r="D68" s="2" t="s">
        <v>132</v>
      </c>
      <c r="E68" s="2"/>
      <c r="F68" s="2" t="s">
        <v>133</v>
      </c>
      <c r="G68" s="4" t="s">
        <v>27</v>
      </c>
      <c r="H68" s="5" t="n">
        <v>28</v>
      </c>
      <c r="I68" s="4"/>
      <c r="J68" s="5"/>
      <c r="K68" s="4"/>
      <c r="L68" s="6" t="b">
        <f aca="false">TRUE()</f>
        <v>1</v>
      </c>
      <c r="M68" s="6" t="b">
        <f aca="false">FALSE()</f>
        <v>0</v>
      </c>
      <c r="N68" s="4"/>
      <c r="O68" s="6" t="b">
        <f aca="false">TRUE()</f>
        <v>1</v>
      </c>
      <c r="P68" s="2" t="s">
        <v>269</v>
      </c>
      <c r="Q68" s="2"/>
      <c r="R68" s="2" t="s">
        <v>30</v>
      </c>
      <c r="S68" s="3"/>
      <c r="T68" s="7" t="n">
        <v>0</v>
      </c>
      <c r="U68" s="8"/>
    </row>
    <row r="69" customFormat="false" ht="15" hidden="false" customHeight="false" outlineLevel="0" collapsed="false">
      <c r="A69" s="2" t="s">
        <v>270</v>
      </c>
      <c r="B69" s="3" t="s">
        <v>271</v>
      </c>
      <c r="C69" s="2" t="s">
        <v>131</v>
      </c>
      <c r="D69" s="2" t="s">
        <v>132</v>
      </c>
      <c r="E69" s="2" t="s">
        <v>272</v>
      </c>
      <c r="F69" s="2" t="s">
        <v>273</v>
      </c>
      <c r="G69" s="4" t="s">
        <v>27</v>
      </c>
      <c r="H69" s="5" t="n">
        <v>25</v>
      </c>
      <c r="I69" s="4"/>
      <c r="J69" s="5"/>
      <c r="K69" s="4"/>
      <c r="L69" s="6" t="b">
        <f aca="false">TRUE()</f>
        <v>1</v>
      </c>
      <c r="M69" s="6" t="b">
        <f aca="false">FALSE()</f>
        <v>0</v>
      </c>
      <c r="N69" s="4"/>
      <c r="O69" s="6" t="b">
        <f aca="false">TRUE()</f>
        <v>1</v>
      </c>
      <c r="P69" s="2" t="s">
        <v>274</v>
      </c>
      <c r="Q69" s="2"/>
      <c r="R69" s="2" t="s">
        <v>30</v>
      </c>
      <c r="S69" s="3"/>
      <c r="T69" s="7" t="n">
        <v>0</v>
      </c>
      <c r="U69" s="8"/>
    </row>
    <row r="70" customFormat="false" ht="15" hidden="false" customHeight="false" outlineLevel="0" collapsed="false">
      <c r="A70" s="2" t="s">
        <v>275</v>
      </c>
      <c r="B70" s="3" t="s">
        <v>276</v>
      </c>
      <c r="C70" s="2" t="s">
        <v>131</v>
      </c>
      <c r="D70" s="2" t="s">
        <v>132</v>
      </c>
      <c r="E70" s="2" t="s">
        <v>272</v>
      </c>
      <c r="F70" s="2" t="s">
        <v>273</v>
      </c>
      <c r="G70" s="4" t="s">
        <v>27</v>
      </c>
      <c r="H70" s="5" t="n">
        <v>25</v>
      </c>
      <c r="I70" s="4"/>
      <c r="J70" s="5"/>
      <c r="K70" s="4"/>
      <c r="L70" s="6" t="b">
        <f aca="false">TRUE()</f>
        <v>1</v>
      </c>
      <c r="M70" s="6" t="b">
        <f aca="false">FALSE()</f>
        <v>0</v>
      </c>
      <c r="N70" s="4"/>
      <c r="O70" s="6" t="b">
        <f aca="false">TRUE()</f>
        <v>1</v>
      </c>
      <c r="P70" s="2" t="s">
        <v>277</v>
      </c>
      <c r="Q70" s="2"/>
      <c r="R70" s="2" t="s">
        <v>30</v>
      </c>
      <c r="S70" s="3"/>
      <c r="T70" s="7" t="n">
        <v>0</v>
      </c>
      <c r="U70" s="8"/>
    </row>
    <row r="71" customFormat="false" ht="15" hidden="false" customHeight="false" outlineLevel="0" collapsed="false">
      <c r="A71" s="2" t="s">
        <v>278</v>
      </c>
      <c r="B71" s="3" t="s">
        <v>279</v>
      </c>
      <c r="C71" s="2" t="s">
        <v>131</v>
      </c>
      <c r="D71" s="2" t="s">
        <v>132</v>
      </c>
      <c r="E71" s="2"/>
      <c r="F71" s="2" t="s">
        <v>133</v>
      </c>
      <c r="G71" s="4" t="s">
        <v>27</v>
      </c>
      <c r="H71" s="5" t="n">
        <v>28</v>
      </c>
      <c r="I71" s="4"/>
      <c r="J71" s="5"/>
      <c r="K71" s="4"/>
      <c r="L71" s="6" t="b">
        <f aca="false">TRUE()</f>
        <v>1</v>
      </c>
      <c r="M71" s="6" t="b">
        <f aca="false">FALSE()</f>
        <v>0</v>
      </c>
      <c r="N71" s="4"/>
      <c r="O71" s="6" t="b">
        <f aca="false">TRUE()</f>
        <v>1</v>
      </c>
      <c r="P71" s="2" t="s">
        <v>280</v>
      </c>
      <c r="Q71" s="2"/>
      <c r="R71" s="2" t="s">
        <v>30</v>
      </c>
      <c r="S71" s="3"/>
      <c r="T71" s="7" t="n">
        <v>0</v>
      </c>
      <c r="U71" s="8"/>
    </row>
    <row r="72" customFormat="false" ht="15" hidden="false" customHeight="false" outlineLevel="0" collapsed="false">
      <c r="A72" s="2" t="s">
        <v>281</v>
      </c>
      <c r="B72" s="3" t="s">
        <v>282</v>
      </c>
      <c r="C72" s="2" t="s">
        <v>199</v>
      </c>
      <c r="D72" s="2" t="s">
        <v>200</v>
      </c>
      <c r="E72" s="2" t="s">
        <v>283</v>
      </c>
      <c r="F72" s="2" t="s">
        <v>88</v>
      </c>
      <c r="G72" s="4" t="s">
        <v>89</v>
      </c>
      <c r="H72" s="5" t="n">
        <v>19</v>
      </c>
      <c r="I72" s="4"/>
      <c r="J72" s="5"/>
      <c r="K72" s="4"/>
      <c r="L72" s="6" t="b">
        <f aca="false">TRUE()</f>
        <v>1</v>
      </c>
      <c r="M72" s="6" t="b">
        <f aca="false">FALSE()</f>
        <v>0</v>
      </c>
      <c r="N72" s="4"/>
      <c r="O72" s="6" t="b">
        <f aca="false">TRUE()</f>
        <v>1</v>
      </c>
      <c r="P72" s="2" t="s">
        <v>284</v>
      </c>
      <c r="Q72" s="2"/>
      <c r="R72" s="2" t="s">
        <v>30</v>
      </c>
      <c r="S72" s="3"/>
      <c r="T72" s="7" t="n">
        <v>69</v>
      </c>
      <c r="U72" s="8"/>
    </row>
    <row r="73" customFormat="false" ht="15" hidden="false" customHeight="false" outlineLevel="0" collapsed="false">
      <c r="A73" s="2" t="s">
        <v>285</v>
      </c>
      <c r="B73" s="3" t="s">
        <v>286</v>
      </c>
      <c r="C73" s="2" t="s">
        <v>106</v>
      </c>
      <c r="D73" s="2" t="s">
        <v>107</v>
      </c>
      <c r="E73" s="2"/>
      <c r="F73" s="2" t="s">
        <v>108</v>
      </c>
      <c r="G73" s="4" t="s">
        <v>89</v>
      </c>
      <c r="H73" s="5" t="n">
        <v>86</v>
      </c>
      <c r="I73" s="4"/>
      <c r="J73" s="5"/>
      <c r="K73" s="4"/>
      <c r="L73" s="6" t="b">
        <f aca="false">TRUE()</f>
        <v>1</v>
      </c>
      <c r="M73" s="6" t="b">
        <f aca="false">FALSE()</f>
        <v>0</v>
      </c>
      <c r="N73" s="4"/>
      <c r="O73" s="6" t="b">
        <f aca="false">TRUE()</f>
        <v>1</v>
      </c>
      <c r="P73" s="2" t="s">
        <v>287</v>
      </c>
      <c r="Q73" s="2"/>
      <c r="R73" s="2" t="s">
        <v>30</v>
      </c>
      <c r="S73" s="3"/>
      <c r="T73" s="7" t="n">
        <v>0</v>
      </c>
      <c r="U73" s="8"/>
    </row>
    <row r="74" customFormat="false" ht="15" hidden="false" customHeight="false" outlineLevel="0" collapsed="false">
      <c r="A74" s="2" t="s">
        <v>288</v>
      </c>
      <c r="B74" s="3" t="s">
        <v>289</v>
      </c>
      <c r="C74" s="2" t="s">
        <v>106</v>
      </c>
      <c r="D74" s="2" t="s">
        <v>107</v>
      </c>
      <c r="E74" s="2"/>
      <c r="F74" s="2" t="s">
        <v>246</v>
      </c>
      <c r="G74" s="4" t="s">
        <v>27</v>
      </c>
      <c r="H74" s="5" t="n">
        <v>22</v>
      </c>
      <c r="I74" s="4"/>
      <c r="J74" s="5"/>
      <c r="K74" s="4"/>
      <c r="L74" s="6" t="b">
        <f aca="false">TRUE()</f>
        <v>1</v>
      </c>
      <c r="M74" s="6" t="b">
        <f aca="false">FALSE()</f>
        <v>0</v>
      </c>
      <c r="N74" s="4"/>
      <c r="O74" s="6" t="b">
        <f aca="false">TRUE()</f>
        <v>1</v>
      </c>
      <c r="P74" s="2" t="s">
        <v>290</v>
      </c>
      <c r="Q74" s="2"/>
      <c r="R74" s="2" t="s">
        <v>30</v>
      </c>
      <c r="S74" s="3"/>
      <c r="T74" s="7" t="n">
        <v>0</v>
      </c>
      <c r="U74" s="8"/>
    </row>
    <row r="75" customFormat="false" ht="23.85" hidden="false" customHeight="false" outlineLevel="0" collapsed="false">
      <c r="A75" s="2" t="s">
        <v>291</v>
      </c>
      <c r="B75" s="3" t="s">
        <v>282</v>
      </c>
      <c r="C75" s="2" t="s">
        <v>199</v>
      </c>
      <c r="D75" s="2" t="s">
        <v>200</v>
      </c>
      <c r="E75" s="2"/>
      <c r="F75" s="2" t="s">
        <v>88</v>
      </c>
      <c r="G75" s="4" t="s">
        <v>89</v>
      </c>
      <c r="H75" s="5" t="n">
        <v>19</v>
      </c>
      <c r="I75" s="4"/>
      <c r="J75" s="5"/>
      <c r="K75" s="4"/>
      <c r="L75" s="6" t="b">
        <f aca="false">TRUE()</f>
        <v>1</v>
      </c>
      <c r="M75" s="6" t="b">
        <f aca="false">FALSE()</f>
        <v>0</v>
      </c>
      <c r="N75" s="4"/>
      <c r="O75" s="6" t="b">
        <f aca="false">TRUE()</f>
        <v>1</v>
      </c>
      <c r="P75" s="2" t="s">
        <v>292</v>
      </c>
      <c r="Q75" s="2"/>
      <c r="R75" s="9" t="s">
        <v>127</v>
      </c>
      <c r="S75" s="3" t="s">
        <v>293</v>
      </c>
      <c r="T75" s="7" t="n">
        <v>759</v>
      </c>
      <c r="U75" s="8" t="n">
        <v>22</v>
      </c>
    </row>
    <row r="76" customFormat="false" ht="15" hidden="false" customHeight="false" outlineLevel="0" collapsed="false">
      <c r="A76" s="2" t="s">
        <v>294</v>
      </c>
      <c r="B76" s="3" t="s">
        <v>295</v>
      </c>
      <c r="C76" s="2" t="s">
        <v>106</v>
      </c>
      <c r="D76" s="2" t="s">
        <v>107</v>
      </c>
      <c r="E76" s="2"/>
      <c r="F76" s="2" t="s">
        <v>296</v>
      </c>
      <c r="G76" s="4" t="s">
        <v>27</v>
      </c>
      <c r="H76" s="5" t="n">
        <v>20</v>
      </c>
      <c r="I76" s="4"/>
      <c r="J76" s="5"/>
      <c r="K76" s="4"/>
      <c r="L76" s="6" t="b">
        <f aca="false">TRUE()</f>
        <v>1</v>
      </c>
      <c r="M76" s="6" t="b">
        <f aca="false">FALSE()</f>
        <v>0</v>
      </c>
      <c r="N76" s="4"/>
      <c r="O76" s="6" t="b">
        <f aca="false">TRUE()</f>
        <v>1</v>
      </c>
      <c r="P76" s="2" t="s">
        <v>297</v>
      </c>
      <c r="Q76" s="2"/>
      <c r="R76" s="2" t="s">
        <v>30</v>
      </c>
      <c r="S76" s="3"/>
      <c r="T76" s="7" t="n">
        <v>0</v>
      </c>
      <c r="U76" s="8"/>
    </row>
    <row r="77" customFormat="false" ht="15" hidden="false" customHeight="false" outlineLevel="0" collapsed="false">
      <c r="A77" s="2" t="s">
        <v>298</v>
      </c>
      <c r="B77" s="3" t="s">
        <v>299</v>
      </c>
      <c r="C77" s="2" t="s">
        <v>106</v>
      </c>
      <c r="D77" s="2" t="s">
        <v>107</v>
      </c>
      <c r="E77" s="2"/>
      <c r="F77" s="2" t="s">
        <v>296</v>
      </c>
      <c r="G77" s="4" t="s">
        <v>27</v>
      </c>
      <c r="H77" s="5" t="n">
        <v>12.78</v>
      </c>
      <c r="I77" s="4"/>
      <c r="J77" s="5"/>
      <c r="K77" s="4"/>
      <c r="L77" s="6" t="b">
        <f aca="false">TRUE()</f>
        <v>1</v>
      </c>
      <c r="M77" s="6" t="b">
        <f aca="false">FALSE()</f>
        <v>0</v>
      </c>
      <c r="N77" s="4"/>
      <c r="O77" s="6" t="b">
        <f aca="false">TRUE()</f>
        <v>1</v>
      </c>
      <c r="P77" s="2" t="s">
        <v>300</v>
      </c>
      <c r="Q77" s="2"/>
      <c r="R77" s="2" t="s">
        <v>30</v>
      </c>
      <c r="S77" s="3"/>
      <c r="T77" s="7" t="n">
        <v>0</v>
      </c>
      <c r="U77" s="8"/>
    </row>
    <row r="78" customFormat="false" ht="15" hidden="false" customHeight="false" outlineLevel="0" collapsed="false">
      <c r="A78" s="2" t="s">
        <v>301</v>
      </c>
      <c r="B78" s="3" t="s">
        <v>302</v>
      </c>
      <c r="C78" s="2" t="s">
        <v>106</v>
      </c>
      <c r="D78" s="2" t="s">
        <v>107</v>
      </c>
      <c r="E78" s="2"/>
      <c r="F78" s="2" t="s">
        <v>108</v>
      </c>
      <c r="G78" s="4" t="s">
        <v>89</v>
      </c>
      <c r="H78" s="5" t="n">
        <v>15.43</v>
      </c>
      <c r="I78" s="4"/>
      <c r="J78" s="5"/>
      <c r="K78" s="4"/>
      <c r="L78" s="6" t="b">
        <f aca="false">TRUE()</f>
        <v>1</v>
      </c>
      <c r="M78" s="6" t="b">
        <f aca="false">FALSE()</f>
        <v>0</v>
      </c>
      <c r="N78" s="4"/>
      <c r="O78" s="6" t="b">
        <f aca="false">TRUE()</f>
        <v>1</v>
      </c>
      <c r="P78" s="2" t="s">
        <v>303</v>
      </c>
      <c r="Q78" s="2"/>
      <c r="R78" s="2" t="s">
        <v>30</v>
      </c>
      <c r="S78" s="3"/>
      <c r="T78" s="7" t="n">
        <v>0</v>
      </c>
      <c r="U78" s="8"/>
    </row>
    <row r="79" customFormat="false" ht="15" hidden="false" customHeight="false" outlineLevel="0" collapsed="false">
      <c r="A79" s="2" t="s">
        <v>304</v>
      </c>
      <c r="B79" s="3" t="s">
        <v>305</v>
      </c>
      <c r="C79" s="2" t="s">
        <v>199</v>
      </c>
      <c r="D79" s="2" t="s">
        <v>200</v>
      </c>
      <c r="E79" s="2"/>
      <c r="F79" s="2" t="s">
        <v>108</v>
      </c>
      <c r="G79" s="4" t="s">
        <v>89</v>
      </c>
      <c r="H79" s="5" t="n">
        <v>25</v>
      </c>
      <c r="I79" s="4"/>
      <c r="J79" s="5"/>
      <c r="K79" s="4"/>
      <c r="L79" s="6" t="b">
        <f aca="false">TRUE()</f>
        <v>1</v>
      </c>
      <c r="M79" s="6" t="b">
        <f aca="false">FALSE()</f>
        <v>0</v>
      </c>
      <c r="N79" s="4"/>
      <c r="O79" s="6" t="b">
        <f aca="false">TRUE()</f>
        <v>1</v>
      </c>
      <c r="P79" s="2" t="s">
        <v>306</v>
      </c>
      <c r="Q79" s="2"/>
      <c r="R79" s="2" t="s">
        <v>30</v>
      </c>
      <c r="S79" s="3"/>
      <c r="T79" s="7" t="n">
        <v>0</v>
      </c>
      <c r="U79" s="8"/>
    </row>
    <row r="80" customFormat="false" ht="15" hidden="false" customHeight="false" outlineLevel="0" collapsed="false">
      <c r="A80" s="2" t="s">
        <v>307</v>
      </c>
      <c r="B80" s="3" t="s">
        <v>308</v>
      </c>
      <c r="C80" s="2" t="s">
        <v>199</v>
      </c>
      <c r="D80" s="2" t="s">
        <v>200</v>
      </c>
      <c r="E80" s="2"/>
      <c r="F80" s="2" t="s">
        <v>108</v>
      </c>
      <c r="G80" s="4" t="s">
        <v>89</v>
      </c>
      <c r="H80" s="5" t="n">
        <v>68</v>
      </c>
      <c r="I80" s="4"/>
      <c r="J80" s="5"/>
      <c r="K80" s="4"/>
      <c r="L80" s="6" t="b">
        <f aca="false">TRUE()</f>
        <v>1</v>
      </c>
      <c r="M80" s="6" t="b">
        <f aca="false">FALSE()</f>
        <v>0</v>
      </c>
      <c r="N80" s="4"/>
      <c r="O80" s="6" t="b">
        <f aca="false">TRUE()</f>
        <v>1</v>
      </c>
      <c r="P80" s="2" t="s">
        <v>309</v>
      </c>
      <c r="Q80" s="2"/>
      <c r="R80" s="2" t="s">
        <v>30</v>
      </c>
      <c r="S80" s="3"/>
      <c r="T80" s="7" t="n">
        <v>0</v>
      </c>
      <c r="U80" s="8"/>
    </row>
    <row r="81" customFormat="false" ht="15" hidden="false" customHeight="false" outlineLevel="0" collapsed="false">
      <c r="A81" s="2" t="s">
        <v>310</v>
      </c>
      <c r="B81" s="3" t="s">
        <v>308</v>
      </c>
      <c r="C81" s="2" t="s">
        <v>199</v>
      </c>
      <c r="D81" s="2" t="s">
        <v>200</v>
      </c>
      <c r="E81" s="2" t="s">
        <v>311</v>
      </c>
      <c r="F81" s="2" t="s">
        <v>312</v>
      </c>
      <c r="G81" s="4" t="s">
        <v>313</v>
      </c>
      <c r="H81" s="5" t="n">
        <v>27.6</v>
      </c>
      <c r="I81" s="4"/>
      <c r="J81" s="5"/>
      <c r="K81" s="4"/>
      <c r="L81" s="6" t="b">
        <f aca="false">TRUE()</f>
        <v>1</v>
      </c>
      <c r="M81" s="6" t="b">
        <f aca="false">FALSE()</f>
        <v>0</v>
      </c>
      <c r="N81" s="4"/>
      <c r="O81" s="6" t="b">
        <f aca="false">TRUE()</f>
        <v>1</v>
      </c>
      <c r="P81" s="2" t="s">
        <v>314</v>
      </c>
      <c r="Q81" s="2"/>
      <c r="R81" s="2" t="s">
        <v>30</v>
      </c>
      <c r="S81" s="3"/>
      <c r="T81" s="7" t="n">
        <v>0</v>
      </c>
      <c r="U81" s="8"/>
    </row>
    <row r="82" customFormat="false" ht="15" hidden="false" customHeight="false" outlineLevel="0" collapsed="false">
      <c r="A82" s="2" t="s">
        <v>315</v>
      </c>
      <c r="B82" s="3" t="s">
        <v>282</v>
      </c>
      <c r="C82" s="2" t="s">
        <v>199</v>
      </c>
      <c r="D82" s="2" t="s">
        <v>200</v>
      </c>
      <c r="E82" s="2" t="s">
        <v>316</v>
      </c>
      <c r="F82" s="2" t="s">
        <v>88</v>
      </c>
      <c r="G82" s="4" t="s">
        <v>89</v>
      </c>
      <c r="H82" s="5" t="n">
        <v>19</v>
      </c>
      <c r="I82" s="4"/>
      <c r="J82" s="5"/>
      <c r="K82" s="4"/>
      <c r="L82" s="6" t="b">
        <f aca="false">TRUE()</f>
        <v>1</v>
      </c>
      <c r="M82" s="6" t="b">
        <f aca="false">FALSE()</f>
        <v>0</v>
      </c>
      <c r="N82" s="4"/>
      <c r="O82" s="6" t="b">
        <f aca="false">TRUE()</f>
        <v>1</v>
      </c>
      <c r="P82" s="2" t="s">
        <v>317</v>
      </c>
      <c r="Q82" s="2"/>
      <c r="R82" s="2" t="s">
        <v>30</v>
      </c>
      <c r="S82" s="3"/>
      <c r="T82" s="7" t="n">
        <v>0</v>
      </c>
      <c r="U82" s="8"/>
    </row>
    <row r="83" customFormat="false" ht="15" hidden="false" customHeight="false" outlineLevel="0" collapsed="false">
      <c r="A83" s="2" t="s">
        <v>318</v>
      </c>
      <c r="B83" s="3" t="s">
        <v>319</v>
      </c>
      <c r="C83" s="2" t="s">
        <v>131</v>
      </c>
      <c r="D83" s="2" t="s">
        <v>132</v>
      </c>
      <c r="E83" s="2"/>
      <c r="F83" s="2" t="s">
        <v>133</v>
      </c>
      <c r="G83" s="4" t="s">
        <v>27</v>
      </c>
      <c r="H83" s="5" t="n">
        <v>30</v>
      </c>
      <c r="I83" s="4"/>
      <c r="J83" s="5"/>
      <c r="K83" s="4"/>
      <c r="L83" s="6" t="b">
        <f aca="false">TRUE()</f>
        <v>1</v>
      </c>
      <c r="M83" s="6" t="b">
        <f aca="false">FALSE()</f>
        <v>0</v>
      </c>
      <c r="N83" s="4"/>
      <c r="O83" s="6" t="b">
        <f aca="false">TRUE()</f>
        <v>1</v>
      </c>
      <c r="P83" s="2" t="s">
        <v>320</v>
      </c>
      <c r="Q83" s="2"/>
      <c r="R83" s="2" t="s">
        <v>30</v>
      </c>
      <c r="S83" s="3"/>
      <c r="T83" s="7" t="n">
        <v>0</v>
      </c>
      <c r="U83" s="8"/>
    </row>
    <row r="84" customFormat="false" ht="15" hidden="false" customHeight="false" outlineLevel="0" collapsed="false">
      <c r="A84" s="2" t="s">
        <v>321</v>
      </c>
      <c r="B84" s="3" t="s">
        <v>322</v>
      </c>
      <c r="C84" s="2" t="s">
        <v>106</v>
      </c>
      <c r="D84" s="2" t="s">
        <v>107</v>
      </c>
      <c r="E84" s="2"/>
      <c r="F84" s="2" t="s">
        <v>108</v>
      </c>
      <c r="G84" s="4" t="s">
        <v>89</v>
      </c>
      <c r="H84" s="5" t="n">
        <v>54</v>
      </c>
      <c r="I84" s="4"/>
      <c r="J84" s="5"/>
      <c r="K84" s="4"/>
      <c r="L84" s="6" t="b">
        <f aca="false">TRUE()</f>
        <v>1</v>
      </c>
      <c r="M84" s="6" t="b">
        <f aca="false">FALSE()</f>
        <v>0</v>
      </c>
      <c r="N84" s="4"/>
      <c r="O84" s="6" t="b">
        <f aca="false">TRUE()</f>
        <v>1</v>
      </c>
      <c r="P84" s="2" t="s">
        <v>323</v>
      </c>
      <c r="Q84" s="2"/>
      <c r="R84" s="2" t="s">
        <v>30</v>
      </c>
      <c r="S84" s="3"/>
      <c r="T84" s="7" t="n">
        <v>0</v>
      </c>
      <c r="U84" s="8"/>
    </row>
    <row r="85" customFormat="false" ht="15" hidden="false" customHeight="false" outlineLevel="0" collapsed="false">
      <c r="A85" s="2" t="s">
        <v>324</v>
      </c>
      <c r="B85" s="3" t="s">
        <v>325</v>
      </c>
      <c r="C85" s="2" t="s">
        <v>106</v>
      </c>
      <c r="D85" s="2" t="s">
        <v>107</v>
      </c>
      <c r="E85" s="2"/>
      <c r="F85" s="2" t="s">
        <v>108</v>
      </c>
      <c r="G85" s="4" t="s">
        <v>89</v>
      </c>
      <c r="H85" s="5" t="n">
        <v>98.9</v>
      </c>
      <c r="I85" s="4"/>
      <c r="J85" s="5"/>
      <c r="K85" s="4"/>
      <c r="L85" s="6" t="b">
        <f aca="false">TRUE()</f>
        <v>1</v>
      </c>
      <c r="M85" s="6" t="b">
        <f aca="false">FALSE()</f>
        <v>0</v>
      </c>
      <c r="N85" s="4"/>
      <c r="O85" s="6" t="b">
        <f aca="false">TRUE()</f>
        <v>1</v>
      </c>
      <c r="P85" s="2" t="s">
        <v>326</v>
      </c>
      <c r="Q85" s="2"/>
      <c r="R85" s="2" t="s">
        <v>30</v>
      </c>
      <c r="S85" s="3"/>
      <c r="T85" s="7" t="n">
        <v>0</v>
      </c>
      <c r="U85" s="8"/>
    </row>
    <row r="86" customFormat="false" ht="15" hidden="false" customHeight="false" outlineLevel="0" collapsed="false">
      <c r="A86" s="2" t="s">
        <v>327</v>
      </c>
      <c r="B86" s="3" t="s">
        <v>328</v>
      </c>
      <c r="C86" s="2" t="s">
        <v>106</v>
      </c>
      <c r="D86" s="2" t="s">
        <v>107</v>
      </c>
      <c r="E86" s="2"/>
      <c r="F86" s="2" t="s">
        <v>329</v>
      </c>
      <c r="G86" s="4" t="s">
        <v>27</v>
      </c>
      <c r="H86" s="5" t="n">
        <v>89.9</v>
      </c>
      <c r="I86" s="4"/>
      <c r="J86" s="5"/>
      <c r="K86" s="4"/>
      <c r="L86" s="6" t="b">
        <f aca="false">TRUE()</f>
        <v>1</v>
      </c>
      <c r="M86" s="6" t="b">
        <f aca="false">FALSE()</f>
        <v>0</v>
      </c>
      <c r="N86" s="4"/>
      <c r="O86" s="6" t="b">
        <f aca="false">TRUE()</f>
        <v>1</v>
      </c>
      <c r="P86" s="2" t="s">
        <v>330</v>
      </c>
      <c r="Q86" s="2"/>
      <c r="R86" s="2" t="s">
        <v>30</v>
      </c>
      <c r="S86" s="3"/>
      <c r="T86" s="7" t="n">
        <v>0</v>
      </c>
      <c r="U86" s="8"/>
    </row>
    <row r="87" customFormat="false" ht="15" hidden="false" customHeight="false" outlineLevel="0" collapsed="false">
      <c r="A87" s="2" t="s">
        <v>331</v>
      </c>
      <c r="B87" s="3" t="s">
        <v>332</v>
      </c>
      <c r="C87" s="2" t="s">
        <v>131</v>
      </c>
      <c r="D87" s="2" t="s">
        <v>132</v>
      </c>
      <c r="E87" s="2"/>
      <c r="F87" s="2" t="s">
        <v>133</v>
      </c>
      <c r="G87" s="4" t="s">
        <v>27</v>
      </c>
      <c r="H87" s="5" t="n">
        <v>27</v>
      </c>
      <c r="I87" s="4"/>
      <c r="J87" s="5"/>
      <c r="K87" s="4"/>
      <c r="L87" s="6" t="b">
        <f aca="false">TRUE()</f>
        <v>1</v>
      </c>
      <c r="M87" s="6" t="b">
        <f aca="false">FALSE()</f>
        <v>0</v>
      </c>
      <c r="N87" s="4"/>
      <c r="O87" s="6" t="b">
        <f aca="false">TRUE()</f>
        <v>1</v>
      </c>
      <c r="P87" s="2" t="s">
        <v>333</v>
      </c>
      <c r="Q87" s="2"/>
      <c r="R87" s="2" t="s">
        <v>30</v>
      </c>
      <c r="S87" s="3"/>
      <c r="T87" s="7" t="n">
        <v>0</v>
      </c>
      <c r="U87" s="8"/>
    </row>
    <row r="88" customFormat="false" ht="23.85" hidden="false" customHeight="false" outlineLevel="0" collapsed="false">
      <c r="A88" s="2" t="s">
        <v>334</v>
      </c>
      <c r="B88" s="3" t="s">
        <v>335</v>
      </c>
      <c r="C88" s="2" t="s">
        <v>336</v>
      </c>
      <c r="D88" s="2" t="s">
        <v>337</v>
      </c>
      <c r="E88" s="2" t="s">
        <v>337</v>
      </c>
      <c r="F88" s="2" t="s">
        <v>338</v>
      </c>
      <c r="G88" s="4" t="s">
        <v>262</v>
      </c>
      <c r="H88" s="5" t="n">
        <v>2.6</v>
      </c>
      <c r="I88" s="4"/>
      <c r="J88" s="5"/>
      <c r="K88" s="4"/>
      <c r="L88" s="6" t="b">
        <f aca="false">TRUE()</f>
        <v>1</v>
      </c>
      <c r="M88" s="6" t="b">
        <f aca="false">FALSE()</f>
        <v>0</v>
      </c>
      <c r="N88" s="4"/>
      <c r="O88" s="6" t="b">
        <f aca="false">TRUE()</f>
        <v>1</v>
      </c>
      <c r="P88" s="2" t="s">
        <v>339</v>
      </c>
      <c r="Q88" s="2"/>
      <c r="R88" s="9" t="s">
        <v>127</v>
      </c>
      <c r="S88" s="3" t="s">
        <v>340</v>
      </c>
      <c r="T88" s="7" t="n">
        <v>63</v>
      </c>
      <c r="U88" s="8" t="n">
        <v>3.5</v>
      </c>
    </row>
    <row r="89" customFormat="false" ht="23.85" hidden="false" customHeight="false" outlineLevel="0" collapsed="false">
      <c r="A89" s="2" t="s">
        <v>341</v>
      </c>
      <c r="B89" s="3" t="s">
        <v>342</v>
      </c>
      <c r="C89" s="2" t="s">
        <v>336</v>
      </c>
      <c r="D89" s="2" t="s">
        <v>337</v>
      </c>
      <c r="E89" s="2" t="s">
        <v>337</v>
      </c>
      <c r="F89" s="2" t="s">
        <v>338</v>
      </c>
      <c r="G89" s="4" t="s">
        <v>262</v>
      </c>
      <c r="H89" s="5" t="n">
        <v>2.6</v>
      </c>
      <c r="I89" s="4"/>
      <c r="J89" s="5"/>
      <c r="K89" s="4"/>
      <c r="L89" s="6" t="b">
        <f aca="false">TRUE()</f>
        <v>1</v>
      </c>
      <c r="M89" s="6" t="b">
        <f aca="false">FALSE()</f>
        <v>0</v>
      </c>
      <c r="N89" s="4"/>
      <c r="O89" s="6" t="b">
        <f aca="false">TRUE()</f>
        <v>1</v>
      </c>
      <c r="P89" s="2" t="s">
        <v>343</v>
      </c>
      <c r="Q89" s="2"/>
      <c r="R89" s="9" t="s">
        <v>127</v>
      </c>
      <c r="S89" s="3" t="s">
        <v>340</v>
      </c>
      <c r="T89" s="7" t="n">
        <v>2</v>
      </c>
      <c r="U89" s="8" t="n">
        <v>3.5</v>
      </c>
    </row>
    <row r="90" customFormat="false" ht="23.85" hidden="false" customHeight="false" outlineLevel="0" collapsed="false">
      <c r="A90" s="2" t="s">
        <v>344</v>
      </c>
      <c r="B90" s="3" t="s">
        <v>345</v>
      </c>
      <c r="C90" s="2" t="s">
        <v>336</v>
      </c>
      <c r="D90" s="2" t="s">
        <v>337</v>
      </c>
      <c r="E90" s="2" t="s">
        <v>337</v>
      </c>
      <c r="F90" s="2" t="s">
        <v>338</v>
      </c>
      <c r="G90" s="4" t="s">
        <v>262</v>
      </c>
      <c r="H90" s="5" t="n">
        <v>2.6</v>
      </c>
      <c r="I90" s="4"/>
      <c r="J90" s="5"/>
      <c r="K90" s="4"/>
      <c r="L90" s="6" t="b">
        <f aca="false">TRUE()</f>
        <v>1</v>
      </c>
      <c r="M90" s="6" t="b">
        <f aca="false">FALSE()</f>
        <v>0</v>
      </c>
      <c r="N90" s="4"/>
      <c r="O90" s="6" t="b">
        <f aca="false">TRUE()</f>
        <v>1</v>
      </c>
      <c r="P90" s="2" t="s">
        <v>346</v>
      </c>
      <c r="Q90" s="2"/>
      <c r="R90" s="9" t="s">
        <v>127</v>
      </c>
      <c r="S90" s="3" t="s">
        <v>340</v>
      </c>
      <c r="T90" s="7" t="n">
        <v>3</v>
      </c>
      <c r="U90" s="8" t="n">
        <v>3.5</v>
      </c>
    </row>
    <row r="91" customFormat="false" ht="23.85" hidden="false" customHeight="false" outlineLevel="0" collapsed="false">
      <c r="A91" s="2" t="s">
        <v>347</v>
      </c>
      <c r="B91" s="3" t="s">
        <v>348</v>
      </c>
      <c r="C91" s="2" t="s">
        <v>336</v>
      </c>
      <c r="D91" s="2" t="s">
        <v>337</v>
      </c>
      <c r="E91" s="2" t="s">
        <v>337</v>
      </c>
      <c r="F91" s="2" t="s">
        <v>338</v>
      </c>
      <c r="G91" s="4" t="s">
        <v>262</v>
      </c>
      <c r="H91" s="5" t="n">
        <v>2.6</v>
      </c>
      <c r="I91" s="4"/>
      <c r="J91" s="5"/>
      <c r="K91" s="4"/>
      <c r="L91" s="6" t="b">
        <f aca="false">TRUE()</f>
        <v>1</v>
      </c>
      <c r="M91" s="6" t="b">
        <f aca="false">FALSE()</f>
        <v>0</v>
      </c>
      <c r="N91" s="4"/>
      <c r="O91" s="6" t="b">
        <f aca="false">TRUE()</f>
        <v>1</v>
      </c>
      <c r="P91" s="2" t="s">
        <v>349</v>
      </c>
      <c r="Q91" s="2"/>
      <c r="R91" s="9" t="s">
        <v>127</v>
      </c>
      <c r="S91" s="3" t="s">
        <v>340</v>
      </c>
      <c r="T91" s="7" t="n">
        <v>72</v>
      </c>
      <c r="U91" s="8" t="n">
        <v>3.5</v>
      </c>
    </row>
    <row r="92" customFormat="false" ht="23.85" hidden="false" customHeight="false" outlineLevel="0" collapsed="false">
      <c r="A92" s="2" t="s">
        <v>350</v>
      </c>
      <c r="B92" s="3" t="s">
        <v>351</v>
      </c>
      <c r="C92" s="2" t="s">
        <v>336</v>
      </c>
      <c r="D92" s="2" t="s">
        <v>337</v>
      </c>
      <c r="E92" s="2" t="s">
        <v>337</v>
      </c>
      <c r="F92" s="2" t="s">
        <v>338</v>
      </c>
      <c r="G92" s="4" t="s">
        <v>262</v>
      </c>
      <c r="H92" s="5" t="n">
        <v>2.6</v>
      </c>
      <c r="I92" s="4"/>
      <c r="J92" s="5"/>
      <c r="K92" s="4"/>
      <c r="L92" s="6" t="b">
        <f aca="false">TRUE()</f>
        <v>1</v>
      </c>
      <c r="M92" s="6" t="b">
        <f aca="false">FALSE()</f>
        <v>0</v>
      </c>
      <c r="N92" s="4"/>
      <c r="O92" s="6" t="b">
        <f aca="false">TRUE()</f>
        <v>1</v>
      </c>
      <c r="P92" s="2" t="s">
        <v>352</v>
      </c>
      <c r="Q92" s="2"/>
      <c r="R92" s="9" t="s">
        <v>127</v>
      </c>
      <c r="S92" s="3" t="s">
        <v>340</v>
      </c>
      <c r="T92" s="7" t="n">
        <v>208</v>
      </c>
      <c r="U92" s="8" t="n">
        <v>3.5</v>
      </c>
    </row>
    <row r="93" customFormat="false" ht="23.85" hidden="false" customHeight="false" outlineLevel="0" collapsed="false">
      <c r="A93" s="2" t="s">
        <v>353</v>
      </c>
      <c r="B93" s="3" t="s">
        <v>354</v>
      </c>
      <c r="C93" s="2" t="s">
        <v>336</v>
      </c>
      <c r="D93" s="2" t="s">
        <v>337</v>
      </c>
      <c r="E93" s="2" t="s">
        <v>337</v>
      </c>
      <c r="F93" s="2" t="s">
        <v>338</v>
      </c>
      <c r="G93" s="4" t="s">
        <v>262</v>
      </c>
      <c r="H93" s="5" t="n">
        <v>2.6</v>
      </c>
      <c r="I93" s="4"/>
      <c r="J93" s="5"/>
      <c r="K93" s="4"/>
      <c r="L93" s="6" t="b">
        <f aca="false">TRUE()</f>
        <v>1</v>
      </c>
      <c r="M93" s="6" t="b">
        <f aca="false">FALSE()</f>
        <v>0</v>
      </c>
      <c r="N93" s="4"/>
      <c r="O93" s="6" t="b">
        <f aca="false">TRUE()</f>
        <v>1</v>
      </c>
      <c r="P93" s="2" t="s">
        <v>355</v>
      </c>
      <c r="Q93" s="2"/>
      <c r="R93" s="9" t="s">
        <v>127</v>
      </c>
      <c r="S93" s="3" t="s">
        <v>340</v>
      </c>
      <c r="T93" s="7" t="n">
        <v>75</v>
      </c>
      <c r="U93" s="8" t="n">
        <v>3.5</v>
      </c>
    </row>
    <row r="94" customFormat="false" ht="23.85" hidden="false" customHeight="false" outlineLevel="0" collapsed="false">
      <c r="A94" s="2" t="s">
        <v>356</v>
      </c>
      <c r="B94" s="3" t="s">
        <v>357</v>
      </c>
      <c r="C94" s="2" t="s">
        <v>336</v>
      </c>
      <c r="D94" s="2" t="s">
        <v>337</v>
      </c>
      <c r="E94" s="2" t="s">
        <v>337</v>
      </c>
      <c r="F94" s="2" t="s">
        <v>338</v>
      </c>
      <c r="G94" s="4" t="s">
        <v>262</v>
      </c>
      <c r="H94" s="5" t="n">
        <v>2.6</v>
      </c>
      <c r="I94" s="4"/>
      <c r="J94" s="5"/>
      <c r="K94" s="4"/>
      <c r="L94" s="6" t="b">
        <f aca="false">TRUE()</f>
        <v>1</v>
      </c>
      <c r="M94" s="6" t="b">
        <f aca="false">FALSE()</f>
        <v>0</v>
      </c>
      <c r="N94" s="4"/>
      <c r="O94" s="6" t="b">
        <f aca="false">TRUE()</f>
        <v>1</v>
      </c>
      <c r="P94" s="2" t="s">
        <v>358</v>
      </c>
      <c r="Q94" s="2"/>
      <c r="R94" s="9" t="s">
        <v>127</v>
      </c>
      <c r="S94" s="3" t="s">
        <v>340</v>
      </c>
      <c r="T94" s="7" t="n">
        <v>70</v>
      </c>
      <c r="U94" s="8" t="n">
        <v>3.5</v>
      </c>
    </row>
    <row r="95" customFormat="false" ht="23.85" hidden="false" customHeight="false" outlineLevel="0" collapsed="false">
      <c r="A95" s="2" t="s">
        <v>359</v>
      </c>
      <c r="B95" s="3" t="s">
        <v>360</v>
      </c>
      <c r="C95" s="2" t="s">
        <v>336</v>
      </c>
      <c r="D95" s="2" t="s">
        <v>337</v>
      </c>
      <c r="E95" s="2" t="s">
        <v>337</v>
      </c>
      <c r="F95" s="2" t="s">
        <v>338</v>
      </c>
      <c r="G95" s="4" t="s">
        <v>262</v>
      </c>
      <c r="H95" s="5" t="n">
        <v>2.6</v>
      </c>
      <c r="I95" s="4"/>
      <c r="J95" s="5"/>
      <c r="K95" s="4"/>
      <c r="L95" s="6" t="b">
        <f aca="false">TRUE()</f>
        <v>1</v>
      </c>
      <c r="M95" s="6" t="b">
        <f aca="false">FALSE()</f>
        <v>0</v>
      </c>
      <c r="N95" s="4"/>
      <c r="O95" s="6" t="b">
        <f aca="false">TRUE()</f>
        <v>1</v>
      </c>
      <c r="P95" s="2" t="s">
        <v>361</v>
      </c>
      <c r="Q95" s="2"/>
      <c r="R95" s="9" t="s">
        <v>127</v>
      </c>
      <c r="S95" s="3" t="s">
        <v>340</v>
      </c>
      <c r="T95" s="7" t="n">
        <v>97</v>
      </c>
      <c r="U95" s="8" t="n">
        <v>3.5</v>
      </c>
    </row>
    <row r="96" customFormat="false" ht="15" hidden="false" customHeight="false" outlineLevel="0" collapsed="false">
      <c r="A96" s="2" t="s">
        <v>362</v>
      </c>
      <c r="B96" s="3" t="s">
        <v>363</v>
      </c>
      <c r="C96" s="2" t="s">
        <v>106</v>
      </c>
      <c r="D96" s="2" t="s">
        <v>107</v>
      </c>
      <c r="E96" s="2"/>
      <c r="F96" s="2" t="s">
        <v>108</v>
      </c>
      <c r="G96" s="4" t="s">
        <v>89</v>
      </c>
      <c r="H96" s="5" t="n">
        <v>83.86</v>
      </c>
      <c r="I96" s="4"/>
      <c r="J96" s="5"/>
      <c r="K96" s="4"/>
      <c r="L96" s="6" t="b">
        <f aca="false">TRUE()</f>
        <v>1</v>
      </c>
      <c r="M96" s="6" t="b">
        <f aca="false">FALSE()</f>
        <v>0</v>
      </c>
      <c r="N96" s="4"/>
      <c r="O96" s="6" t="b">
        <f aca="false">TRUE()</f>
        <v>1</v>
      </c>
      <c r="P96" s="2" t="s">
        <v>364</v>
      </c>
      <c r="Q96" s="2"/>
      <c r="R96" s="2" t="s">
        <v>30</v>
      </c>
      <c r="S96" s="3"/>
      <c r="T96" s="7" t="n">
        <v>0</v>
      </c>
      <c r="U96" s="8" t="n">
        <v>89.85</v>
      </c>
    </row>
    <row r="97" customFormat="false" ht="15" hidden="false" customHeight="false" outlineLevel="0" collapsed="false">
      <c r="A97" s="2" t="s">
        <v>365</v>
      </c>
      <c r="B97" s="3" t="s">
        <v>366</v>
      </c>
      <c r="C97" s="2" t="s">
        <v>23</v>
      </c>
      <c r="D97" s="2" t="s">
        <v>24</v>
      </c>
      <c r="E97" s="2" t="s">
        <v>25</v>
      </c>
      <c r="F97" s="2" t="s">
        <v>367</v>
      </c>
      <c r="G97" s="4" t="s">
        <v>27</v>
      </c>
      <c r="H97" s="5" t="n">
        <v>18</v>
      </c>
      <c r="I97" s="4"/>
      <c r="J97" s="5"/>
      <c r="K97" s="4"/>
      <c r="L97" s="6" t="b">
        <f aca="false">TRUE()</f>
        <v>1</v>
      </c>
      <c r="M97" s="6" t="b">
        <f aca="false">FALSE()</f>
        <v>0</v>
      </c>
      <c r="N97" s="4"/>
      <c r="O97" s="6" t="b">
        <f aca="false">TRUE()</f>
        <v>1</v>
      </c>
      <c r="P97" s="2" t="s">
        <v>368</v>
      </c>
      <c r="Q97" s="2" t="s">
        <v>369</v>
      </c>
      <c r="R97" s="2" t="s">
        <v>30</v>
      </c>
      <c r="S97" s="3"/>
      <c r="T97" s="7" t="n">
        <v>393</v>
      </c>
      <c r="U97" s="8" t="n">
        <v>19</v>
      </c>
    </row>
    <row r="98" customFormat="false" ht="15" hidden="false" customHeight="false" outlineLevel="0" collapsed="false">
      <c r="A98" s="2" t="s">
        <v>370</v>
      </c>
      <c r="B98" s="3" t="s">
        <v>289</v>
      </c>
      <c r="C98" s="2" t="s">
        <v>106</v>
      </c>
      <c r="D98" s="2" t="s">
        <v>107</v>
      </c>
      <c r="E98" s="2"/>
      <c r="F98" s="2" t="s">
        <v>296</v>
      </c>
      <c r="G98" s="4" t="s">
        <v>27</v>
      </c>
      <c r="H98" s="5" t="n">
        <v>22</v>
      </c>
      <c r="I98" s="4"/>
      <c r="J98" s="5"/>
      <c r="K98" s="4"/>
      <c r="L98" s="6" t="b">
        <f aca="false">TRUE()</f>
        <v>1</v>
      </c>
      <c r="M98" s="6" t="b">
        <f aca="false">FALSE()</f>
        <v>0</v>
      </c>
      <c r="N98" s="4"/>
      <c r="O98" s="6" t="b">
        <f aca="false">TRUE()</f>
        <v>1</v>
      </c>
      <c r="P98" s="2" t="s">
        <v>371</v>
      </c>
      <c r="Q98" s="2"/>
      <c r="R98" s="2" t="s">
        <v>30</v>
      </c>
      <c r="S98" s="3"/>
      <c r="T98" s="7" t="n">
        <v>0</v>
      </c>
      <c r="U98" s="8"/>
    </row>
    <row r="99" customFormat="false" ht="23.85" hidden="false" customHeight="false" outlineLevel="0" collapsed="false">
      <c r="A99" s="2" t="s">
        <v>372</v>
      </c>
      <c r="B99" s="3" t="s">
        <v>373</v>
      </c>
      <c r="C99" s="2" t="s">
        <v>336</v>
      </c>
      <c r="D99" s="2" t="s">
        <v>337</v>
      </c>
      <c r="E99" s="2" t="s">
        <v>337</v>
      </c>
      <c r="F99" s="2" t="s">
        <v>338</v>
      </c>
      <c r="G99" s="4" t="s">
        <v>262</v>
      </c>
      <c r="H99" s="5" t="n">
        <v>2.6</v>
      </c>
      <c r="I99" s="4"/>
      <c r="J99" s="5"/>
      <c r="K99" s="4"/>
      <c r="L99" s="6" t="b">
        <f aca="false">TRUE()</f>
        <v>1</v>
      </c>
      <c r="M99" s="6" t="b">
        <f aca="false">FALSE()</f>
        <v>0</v>
      </c>
      <c r="N99" s="4"/>
      <c r="O99" s="6" t="b">
        <f aca="false">TRUE()</f>
        <v>1</v>
      </c>
      <c r="P99" s="2" t="s">
        <v>374</v>
      </c>
      <c r="Q99" s="2"/>
      <c r="R99" s="9" t="s">
        <v>127</v>
      </c>
      <c r="S99" s="3" t="s">
        <v>340</v>
      </c>
      <c r="T99" s="7" t="n">
        <v>6</v>
      </c>
      <c r="U99" s="8" t="n">
        <v>3.5</v>
      </c>
    </row>
    <row r="100" customFormat="false" ht="23.85" hidden="false" customHeight="false" outlineLevel="0" collapsed="false">
      <c r="A100" s="2" t="s">
        <v>375</v>
      </c>
      <c r="B100" s="3" t="s">
        <v>376</v>
      </c>
      <c r="C100" s="2" t="s">
        <v>336</v>
      </c>
      <c r="D100" s="2" t="s">
        <v>337</v>
      </c>
      <c r="E100" s="2" t="s">
        <v>337</v>
      </c>
      <c r="F100" s="2" t="s">
        <v>338</v>
      </c>
      <c r="G100" s="4" t="s">
        <v>262</v>
      </c>
      <c r="H100" s="5" t="n">
        <v>2.6</v>
      </c>
      <c r="I100" s="4"/>
      <c r="J100" s="5"/>
      <c r="K100" s="4"/>
      <c r="L100" s="6" t="b">
        <f aca="false">TRUE()</f>
        <v>1</v>
      </c>
      <c r="M100" s="6" t="b">
        <f aca="false">FALSE()</f>
        <v>0</v>
      </c>
      <c r="N100" s="4"/>
      <c r="O100" s="6" t="b">
        <f aca="false">TRUE()</f>
        <v>1</v>
      </c>
      <c r="P100" s="2" t="s">
        <v>377</v>
      </c>
      <c r="Q100" s="2"/>
      <c r="R100" s="9" t="s">
        <v>127</v>
      </c>
      <c r="S100" s="3" t="s">
        <v>340</v>
      </c>
      <c r="T100" s="7" t="n">
        <v>9</v>
      </c>
      <c r="U100" s="8" t="n">
        <v>3.5</v>
      </c>
    </row>
    <row r="101" customFormat="false" ht="23.85" hidden="false" customHeight="false" outlineLevel="0" collapsed="false">
      <c r="A101" s="2" t="s">
        <v>378</v>
      </c>
      <c r="B101" s="3" t="s">
        <v>379</v>
      </c>
      <c r="C101" s="2" t="s">
        <v>336</v>
      </c>
      <c r="D101" s="2" t="s">
        <v>337</v>
      </c>
      <c r="E101" s="2" t="s">
        <v>337</v>
      </c>
      <c r="F101" s="2" t="s">
        <v>338</v>
      </c>
      <c r="G101" s="4" t="s">
        <v>262</v>
      </c>
      <c r="H101" s="5" t="n">
        <v>2.6</v>
      </c>
      <c r="I101" s="4"/>
      <c r="J101" s="5"/>
      <c r="K101" s="4"/>
      <c r="L101" s="6" t="b">
        <f aca="false">TRUE()</f>
        <v>1</v>
      </c>
      <c r="M101" s="6" t="b">
        <f aca="false">FALSE()</f>
        <v>0</v>
      </c>
      <c r="N101" s="4"/>
      <c r="O101" s="6" t="b">
        <f aca="false">TRUE()</f>
        <v>1</v>
      </c>
      <c r="P101" s="2" t="s">
        <v>380</v>
      </c>
      <c r="Q101" s="2"/>
      <c r="R101" s="9" t="s">
        <v>127</v>
      </c>
      <c r="S101" s="3" t="s">
        <v>340</v>
      </c>
      <c r="T101" s="7" t="n">
        <v>102</v>
      </c>
      <c r="U101" s="8"/>
    </row>
    <row r="102" customFormat="false" ht="15" hidden="false" customHeight="false" outlineLevel="0" collapsed="false">
      <c r="A102" s="2" t="s">
        <v>381</v>
      </c>
      <c r="B102" s="3" t="s">
        <v>130</v>
      </c>
      <c r="C102" s="2" t="s">
        <v>131</v>
      </c>
      <c r="D102" s="2" t="s">
        <v>132</v>
      </c>
      <c r="E102" s="2"/>
      <c r="F102" s="2" t="s">
        <v>382</v>
      </c>
      <c r="G102" s="4" t="s">
        <v>27</v>
      </c>
      <c r="H102" s="5" t="n">
        <v>71.61</v>
      </c>
      <c r="I102" s="4"/>
      <c r="J102" s="5"/>
      <c r="K102" s="4"/>
      <c r="L102" s="6" t="b">
        <f aca="false">TRUE()</f>
        <v>1</v>
      </c>
      <c r="M102" s="6" t="b">
        <f aca="false">FALSE()</f>
        <v>0</v>
      </c>
      <c r="N102" s="4"/>
      <c r="O102" s="6" t="b">
        <f aca="false">TRUE()</f>
        <v>1</v>
      </c>
      <c r="P102" s="2" t="s">
        <v>383</v>
      </c>
      <c r="Q102" s="2"/>
      <c r="R102" s="2" t="s">
        <v>30</v>
      </c>
      <c r="S102" s="3"/>
      <c r="T102" s="7" t="n">
        <v>0</v>
      </c>
      <c r="U102" s="8"/>
    </row>
    <row r="103" customFormat="false" ht="15" hidden="false" customHeight="false" outlineLevel="0" collapsed="false">
      <c r="A103" s="2" t="s">
        <v>384</v>
      </c>
      <c r="B103" s="3" t="s">
        <v>60</v>
      </c>
      <c r="C103" s="2" t="s">
        <v>23</v>
      </c>
      <c r="D103" s="2" t="s">
        <v>87</v>
      </c>
      <c r="E103" s="2" t="s">
        <v>25</v>
      </c>
      <c r="F103" s="2" t="s">
        <v>88</v>
      </c>
      <c r="G103" s="4" t="s">
        <v>89</v>
      </c>
      <c r="H103" s="5" t="n">
        <v>40</v>
      </c>
      <c r="I103" s="4"/>
      <c r="J103" s="5"/>
      <c r="K103" s="4"/>
      <c r="L103" s="6" t="b">
        <f aca="false">TRUE()</f>
        <v>1</v>
      </c>
      <c r="M103" s="6" t="b">
        <f aca="false">FALSE()</f>
        <v>0</v>
      </c>
      <c r="N103" s="4"/>
      <c r="O103" s="6" t="b">
        <f aca="false">TRUE()</f>
        <v>1</v>
      </c>
      <c r="P103" s="2" t="s">
        <v>385</v>
      </c>
      <c r="Q103" s="2" t="s">
        <v>386</v>
      </c>
      <c r="R103" s="2" t="s">
        <v>30</v>
      </c>
      <c r="S103" s="3"/>
      <c r="T103" s="7" t="n">
        <v>64</v>
      </c>
      <c r="U103" s="8"/>
    </row>
    <row r="104" customFormat="false" ht="15" hidden="false" customHeight="false" outlineLevel="0" collapsed="false">
      <c r="A104" s="2" t="s">
        <v>387</v>
      </c>
      <c r="B104" s="3" t="s">
        <v>388</v>
      </c>
      <c r="C104" s="2" t="s">
        <v>106</v>
      </c>
      <c r="D104" s="2" t="s">
        <v>107</v>
      </c>
      <c r="E104" s="2"/>
      <c r="F104" s="2" t="s">
        <v>108</v>
      </c>
      <c r="G104" s="4" t="s">
        <v>89</v>
      </c>
      <c r="H104" s="5" t="n">
        <v>319.9</v>
      </c>
      <c r="I104" s="4"/>
      <c r="J104" s="5"/>
      <c r="K104" s="4"/>
      <c r="L104" s="6" t="b">
        <f aca="false">TRUE()</f>
        <v>1</v>
      </c>
      <c r="M104" s="6" t="b">
        <f aca="false">FALSE()</f>
        <v>0</v>
      </c>
      <c r="N104" s="4"/>
      <c r="O104" s="6" t="b">
        <f aca="false">TRUE()</f>
        <v>1</v>
      </c>
      <c r="P104" s="2" t="s">
        <v>389</v>
      </c>
      <c r="Q104" s="2"/>
      <c r="R104" s="2" t="s">
        <v>30</v>
      </c>
      <c r="S104" s="3"/>
      <c r="T104" s="7" t="n">
        <v>0</v>
      </c>
      <c r="U104" s="8"/>
    </row>
    <row r="105" customFormat="false" ht="23.85" hidden="false" customHeight="false" outlineLevel="0" collapsed="false">
      <c r="A105" s="2" t="s">
        <v>390</v>
      </c>
      <c r="B105" s="3" t="s">
        <v>391</v>
      </c>
      <c r="C105" s="2" t="s">
        <v>336</v>
      </c>
      <c r="D105" s="2" t="s">
        <v>337</v>
      </c>
      <c r="E105" s="2" t="s">
        <v>337</v>
      </c>
      <c r="F105" s="2" t="s">
        <v>338</v>
      </c>
      <c r="G105" s="4" t="s">
        <v>262</v>
      </c>
      <c r="H105" s="5" t="n">
        <v>2.6</v>
      </c>
      <c r="I105" s="4"/>
      <c r="J105" s="5"/>
      <c r="K105" s="4"/>
      <c r="L105" s="6" t="b">
        <f aca="false">TRUE()</f>
        <v>1</v>
      </c>
      <c r="M105" s="6" t="b">
        <f aca="false">FALSE()</f>
        <v>0</v>
      </c>
      <c r="N105" s="4"/>
      <c r="O105" s="6" t="b">
        <f aca="false">TRUE()</f>
        <v>1</v>
      </c>
      <c r="P105" s="2" t="s">
        <v>392</v>
      </c>
      <c r="Q105" s="2"/>
      <c r="R105" s="9" t="s">
        <v>127</v>
      </c>
      <c r="S105" s="3" t="s">
        <v>340</v>
      </c>
      <c r="T105" s="7" t="n">
        <v>3</v>
      </c>
      <c r="U105" s="8" t="n">
        <v>3.5</v>
      </c>
    </row>
    <row r="106" customFormat="false" ht="23.85" hidden="false" customHeight="false" outlineLevel="0" collapsed="false">
      <c r="A106" s="2" t="s">
        <v>393</v>
      </c>
      <c r="B106" s="3" t="s">
        <v>394</v>
      </c>
      <c r="C106" s="2" t="s">
        <v>336</v>
      </c>
      <c r="D106" s="2" t="s">
        <v>337</v>
      </c>
      <c r="E106" s="2" t="s">
        <v>337</v>
      </c>
      <c r="F106" s="2" t="s">
        <v>338</v>
      </c>
      <c r="G106" s="4" t="s">
        <v>262</v>
      </c>
      <c r="H106" s="5" t="n">
        <v>2.6</v>
      </c>
      <c r="I106" s="4"/>
      <c r="J106" s="5"/>
      <c r="K106" s="4"/>
      <c r="L106" s="6" t="b">
        <f aca="false">TRUE()</f>
        <v>1</v>
      </c>
      <c r="M106" s="6" t="b">
        <f aca="false">FALSE()</f>
        <v>0</v>
      </c>
      <c r="N106" s="4"/>
      <c r="O106" s="6" t="b">
        <f aca="false">TRUE()</f>
        <v>1</v>
      </c>
      <c r="P106" s="2" t="s">
        <v>395</v>
      </c>
      <c r="Q106" s="2"/>
      <c r="R106" s="9" t="s">
        <v>127</v>
      </c>
      <c r="S106" s="3" t="s">
        <v>340</v>
      </c>
      <c r="T106" s="7" t="n">
        <v>10</v>
      </c>
      <c r="U106" s="8" t="n">
        <v>3.5</v>
      </c>
    </row>
    <row r="107" customFormat="false" ht="15" hidden="false" customHeight="false" outlineLevel="0" collapsed="false">
      <c r="A107" s="2" t="s">
        <v>396</v>
      </c>
      <c r="B107" s="3" t="s">
        <v>397</v>
      </c>
      <c r="C107" s="2" t="s">
        <v>106</v>
      </c>
      <c r="D107" s="2" t="s">
        <v>107</v>
      </c>
      <c r="E107" s="2"/>
      <c r="F107" s="2" t="s">
        <v>108</v>
      </c>
      <c r="G107" s="4" t="s">
        <v>89</v>
      </c>
      <c r="H107" s="5" t="n">
        <v>80</v>
      </c>
      <c r="I107" s="4"/>
      <c r="J107" s="5"/>
      <c r="K107" s="4"/>
      <c r="L107" s="6" t="b">
        <f aca="false">TRUE()</f>
        <v>1</v>
      </c>
      <c r="M107" s="6" t="b">
        <f aca="false">FALSE()</f>
        <v>0</v>
      </c>
      <c r="N107" s="4"/>
      <c r="O107" s="6" t="b">
        <f aca="false">TRUE()</f>
        <v>1</v>
      </c>
      <c r="P107" s="2" t="s">
        <v>398</v>
      </c>
      <c r="Q107" s="2"/>
      <c r="R107" s="2" t="s">
        <v>30</v>
      </c>
      <c r="S107" s="3"/>
      <c r="T107" s="7" t="n">
        <v>0</v>
      </c>
      <c r="U107" s="8"/>
    </row>
    <row r="108" customFormat="false" ht="15" hidden="false" customHeight="false" outlineLevel="0" collapsed="false">
      <c r="A108" s="2" t="s">
        <v>399</v>
      </c>
      <c r="B108" s="3" t="s">
        <v>400</v>
      </c>
      <c r="C108" s="2" t="s">
        <v>106</v>
      </c>
      <c r="D108" s="2" t="s">
        <v>107</v>
      </c>
      <c r="E108" s="2"/>
      <c r="F108" s="2" t="s">
        <v>108</v>
      </c>
      <c r="G108" s="4" t="s">
        <v>89</v>
      </c>
      <c r="H108" s="5" t="n">
        <v>114.9</v>
      </c>
      <c r="I108" s="4"/>
      <c r="J108" s="5"/>
      <c r="K108" s="4"/>
      <c r="L108" s="6" t="b">
        <f aca="false">TRUE()</f>
        <v>1</v>
      </c>
      <c r="M108" s="6" t="b">
        <f aca="false">FALSE()</f>
        <v>0</v>
      </c>
      <c r="N108" s="4"/>
      <c r="O108" s="6" t="b">
        <f aca="false">TRUE()</f>
        <v>1</v>
      </c>
      <c r="P108" s="2" t="s">
        <v>401</v>
      </c>
      <c r="Q108" s="2"/>
      <c r="R108" s="2" t="s">
        <v>30</v>
      </c>
      <c r="S108" s="3"/>
      <c r="T108" s="7" t="n">
        <v>0</v>
      </c>
      <c r="U108" s="8"/>
    </row>
    <row r="109" customFormat="false" ht="15" hidden="false" customHeight="false" outlineLevel="0" collapsed="false">
      <c r="A109" s="2" t="s">
        <v>402</v>
      </c>
      <c r="B109" s="3" t="s">
        <v>403</v>
      </c>
      <c r="C109" s="2" t="s">
        <v>106</v>
      </c>
      <c r="D109" s="2" t="s">
        <v>107</v>
      </c>
      <c r="E109" s="2"/>
      <c r="F109" s="2" t="s">
        <v>108</v>
      </c>
      <c r="G109" s="4" t="s">
        <v>89</v>
      </c>
      <c r="H109" s="5" t="n">
        <v>89.9</v>
      </c>
      <c r="I109" s="4"/>
      <c r="J109" s="5"/>
      <c r="K109" s="4"/>
      <c r="L109" s="6" t="b">
        <f aca="false">TRUE()</f>
        <v>1</v>
      </c>
      <c r="M109" s="6" t="b">
        <f aca="false">FALSE()</f>
        <v>0</v>
      </c>
      <c r="N109" s="4"/>
      <c r="O109" s="6" t="b">
        <f aca="false">TRUE()</f>
        <v>1</v>
      </c>
      <c r="P109" s="2" t="s">
        <v>404</v>
      </c>
      <c r="Q109" s="2"/>
      <c r="R109" s="2" t="s">
        <v>30</v>
      </c>
      <c r="S109" s="3"/>
      <c r="T109" s="7" t="n">
        <v>0</v>
      </c>
      <c r="U109" s="8"/>
    </row>
    <row r="110" customFormat="false" ht="23.85" hidden="false" customHeight="false" outlineLevel="0" collapsed="false">
      <c r="A110" s="2" t="s">
        <v>405</v>
      </c>
      <c r="B110" s="3" t="s">
        <v>52</v>
      </c>
      <c r="C110" s="2" t="s">
        <v>23</v>
      </c>
      <c r="D110" s="2" t="s">
        <v>87</v>
      </c>
      <c r="E110" s="2" t="s">
        <v>25</v>
      </c>
      <c r="F110" s="2" t="s">
        <v>406</v>
      </c>
      <c r="G110" s="4" t="s">
        <v>27</v>
      </c>
      <c r="H110" s="5" t="n">
        <v>35</v>
      </c>
      <c r="I110" s="4"/>
      <c r="J110" s="5"/>
      <c r="K110" s="4"/>
      <c r="L110" s="6" t="b">
        <f aca="false">TRUE()</f>
        <v>1</v>
      </c>
      <c r="M110" s="6" t="b">
        <f aca="false">FALSE()</f>
        <v>0</v>
      </c>
      <c r="N110" s="4"/>
      <c r="O110" s="6" t="b">
        <f aca="false">TRUE()</f>
        <v>1</v>
      </c>
      <c r="P110" s="2" t="s">
        <v>407</v>
      </c>
      <c r="Q110" s="2" t="s">
        <v>408</v>
      </c>
      <c r="R110" s="9" t="s">
        <v>127</v>
      </c>
      <c r="S110" s="3" t="s">
        <v>409</v>
      </c>
      <c r="T110" s="7" t="n">
        <v>0</v>
      </c>
      <c r="U110" s="8"/>
    </row>
    <row r="111" customFormat="false" ht="15" hidden="false" customHeight="false" outlineLevel="0" collapsed="false">
      <c r="A111" s="2" t="s">
        <v>410</v>
      </c>
      <c r="B111" s="3" t="s">
        <v>411</v>
      </c>
      <c r="C111" s="2" t="s">
        <v>131</v>
      </c>
      <c r="D111" s="2" t="s">
        <v>132</v>
      </c>
      <c r="E111" s="2"/>
      <c r="F111" s="2" t="s">
        <v>133</v>
      </c>
      <c r="G111" s="4" t="s">
        <v>27</v>
      </c>
      <c r="H111" s="5" t="n">
        <v>28</v>
      </c>
      <c r="I111" s="4"/>
      <c r="J111" s="5"/>
      <c r="K111" s="4"/>
      <c r="L111" s="6" t="b">
        <f aca="false">TRUE()</f>
        <v>1</v>
      </c>
      <c r="M111" s="6" t="b">
        <f aca="false">FALSE()</f>
        <v>0</v>
      </c>
      <c r="N111" s="4"/>
      <c r="O111" s="6" t="b">
        <f aca="false">TRUE()</f>
        <v>1</v>
      </c>
      <c r="P111" s="2" t="s">
        <v>412</v>
      </c>
      <c r="Q111" s="2"/>
      <c r="R111" s="2" t="s">
        <v>30</v>
      </c>
      <c r="S111" s="3"/>
      <c r="T111" s="7" t="n">
        <v>0</v>
      </c>
      <c r="U111" s="8"/>
    </row>
    <row r="112" customFormat="false" ht="15" hidden="false" customHeight="false" outlineLevel="0" collapsed="false">
      <c r="A112" s="2" t="s">
        <v>413</v>
      </c>
      <c r="B112" s="3" t="s">
        <v>414</v>
      </c>
      <c r="C112" s="2" t="s">
        <v>131</v>
      </c>
      <c r="D112" s="2" t="s">
        <v>132</v>
      </c>
      <c r="E112" s="2"/>
      <c r="F112" s="2" t="s">
        <v>133</v>
      </c>
      <c r="G112" s="4" t="s">
        <v>27</v>
      </c>
      <c r="H112" s="5" t="n">
        <v>28</v>
      </c>
      <c r="I112" s="4"/>
      <c r="J112" s="5"/>
      <c r="K112" s="4"/>
      <c r="L112" s="6" t="b">
        <f aca="false">TRUE()</f>
        <v>1</v>
      </c>
      <c r="M112" s="6" t="b">
        <f aca="false">FALSE()</f>
        <v>0</v>
      </c>
      <c r="N112" s="4"/>
      <c r="O112" s="6" t="b">
        <f aca="false">TRUE()</f>
        <v>1</v>
      </c>
      <c r="P112" s="2" t="s">
        <v>415</v>
      </c>
      <c r="Q112" s="2"/>
      <c r="R112" s="2" t="s">
        <v>30</v>
      </c>
      <c r="S112" s="3"/>
      <c r="T112" s="7" t="n">
        <v>0</v>
      </c>
      <c r="U112" s="8"/>
    </row>
    <row r="113" customFormat="false" ht="15" hidden="false" customHeight="false" outlineLevel="0" collapsed="false">
      <c r="A113" s="2" t="s">
        <v>416</v>
      </c>
      <c r="B113" s="3" t="s">
        <v>417</v>
      </c>
      <c r="C113" s="2" t="s">
        <v>131</v>
      </c>
      <c r="D113" s="2" t="s">
        <v>132</v>
      </c>
      <c r="E113" s="2"/>
      <c r="F113" s="2" t="s">
        <v>133</v>
      </c>
      <c r="G113" s="4" t="s">
        <v>27</v>
      </c>
      <c r="H113" s="5" t="n">
        <v>39</v>
      </c>
      <c r="I113" s="4"/>
      <c r="J113" s="5"/>
      <c r="K113" s="4"/>
      <c r="L113" s="6" t="b">
        <f aca="false">TRUE()</f>
        <v>1</v>
      </c>
      <c r="M113" s="6" t="b">
        <f aca="false">FALSE()</f>
        <v>0</v>
      </c>
      <c r="N113" s="4"/>
      <c r="O113" s="6" t="b">
        <f aca="false">TRUE()</f>
        <v>1</v>
      </c>
      <c r="P113" s="2" t="s">
        <v>418</v>
      </c>
      <c r="Q113" s="2"/>
      <c r="R113" s="2" t="s">
        <v>30</v>
      </c>
      <c r="S113" s="3"/>
      <c r="T113" s="7" t="n">
        <v>0</v>
      </c>
      <c r="U113" s="8"/>
    </row>
    <row r="114" customFormat="false" ht="15" hidden="false" customHeight="false" outlineLevel="0" collapsed="false">
      <c r="A114" s="2" t="s">
        <v>419</v>
      </c>
      <c r="B114" s="3" t="s">
        <v>420</v>
      </c>
      <c r="C114" s="2" t="s">
        <v>131</v>
      </c>
      <c r="D114" s="2" t="s">
        <v>132</v>
      </c>
      <c r="E114" s="2"/>
      <c r="F114" s="2" t="s">
        <v>133</v>
      </c>
      <c r="G114" s="4" t="s">
        <v>27</v>
      </c>
      <c r="H114" s="5" t="n">
        <v>28</v>
      </c>
      <c r="I114" s="4"/>
      <c r="J114" s="5"/>
      <c r="K114" s="4"/>
      <c r="L114" s="6" t="b">
        <f aca="false">TRUE()</f>
        <v>1</v>
      </c>
      <c r="M114" s="6" t="b">
        <f aca="false">FALSE()</f>
        <v>0</v>
      </c>
      <c r="N114" s="4"/>
      <c r="O114" s="6" t="b">
        <f aca="false">TRUE()</f>
        <v>1</v>
      </c>
      <c r="P114" s="2" t="s">
        <v>421</v>
      </c>
      <c r="Q114" s="2"/>
      <c r="R114" s="2" t="s">
        <v>30</v>
      </c>
      <c r="S114" s="3"/>
      <c r="T114" s="7" t="n">
        <v>0</v>
      </c>
      <c r="U114" s="8"/>
    </row>
    <row r="115" customFormat="false" ht="15" hidden="false" customHeight="false" outlineLevel="0" collapsed="false">
      <c r="A115" s="2" t="s">
        <v>422</v>
      </c>
      <c r="B115" s="3" t="s">
        <v>423</v>
      </c>
      <c r="C115" s="2" t="s">
        <v>424</v>
      </c>
      <c r="D115" s="2" t="s">
        <v>425</v>
      </c>
      <c r="E115" s="2"/>
      <c r="F115" s="2" t="s">
        <v>426</v>
      </c>
      <c r="G115" s="4" t="s">
        <v>427</v>
      </c>
      <c r="H115" s="5" t="n">
        <v>165</v>
      </c>
      <c r="I115" s="4"/>
      <c r="J115" s="5"/>
      <c r="K115" s="4"/>
      <c r="L115" s="6" t="b">
        <f aca="false">TRUE()</f>
        <v>1</v>
      </c>
      <c r="M115" s="6" t="b">
        <f aca="false">FALSE()</f>
        <v>0</v>
      </c>
      <c r="N115" s="4"/>
      <c r="O115" s="6" t="b">
        <f aca="false">TRUE()</f>
        <v>1</v>
      </c>
      <c r="P115" s="2" t="s">
        <v>428</v>
      </c>
      <c r="Q115" s="2"/>
      <c r="R115" s="2" t="s">
        <v>30</v>
      </c>
      <c r="S115" s="3"/>
      <c r="T115" s="7" t="n">
        <v>40</v>
      </c>
      <c r="U115" s="8"/>
    </row>
    <row r="116" customFormat="false" ht="15" hidden="false" customHeight="false" outlineLevel="0" collapsed="false">
      <c r="A116" s="2" t="s">
        <v>429</v>
      </c>
      <c r="B116" s="3" t="s">
        <v>430</v>
      </c>
      <c r="C116" s="2" t="s">
        <v>424</v>
      </c>
      <c r="D116" s="2" t="s">
        <v>425</v>
      </c>
      <c r="E116" s="2"/>
      <c r="F116" s="2" t="s">
        <v>426</v>
      </c>
      <c r="G116" s="4" t="s">
        <v>427</v>
      </c>
      <c r="H116" s="5" t="n">
        <v>165</v>
      </c>
      <c r="I116" s="4"/>
      <c r="J116" s="5"/>
      <c r="K116" s="4"/>
      <c r="L116" s="6" t="b">
        <f aca="false">TRUE()</f>
        <v>1</v>
      </c>
      <c r="M116" s="6" t="b">
        <f aca="false">FALSE()</f>
        <v>0</v>
      </c>
      <c r="N116" s="4"/>
      <c r="O116" s="6" t="b">
        <f aca="false">TRUE()</f>
        <v>1</v>
      </c>
      <c r="P116" s="2" t="s">
        <v>431</v>
      </c>
      <c r="Q116" s="2"/>
      <c r="R116" s="2" t="s">
        <v>30</v>
      </c>
      <c r="S116" s="3"/>
      <c r="T116" s="7" t="n">
        <v>0</v>
      </c>
      <c r="U116" s="8"/>
    </row>
    <row r="117" customFormat="false" ht="15" hidden="false" customHeight="false" outlineLevel="0" collapsed="false">
      <c r="A117" s="2" t="s">
        <v>432</v>
      </c>
      <c r="B117" s="3" t="s">
        <v>433</v>
      </c>
      <c r="C117" s="2" t="s">
        <v>424</v>
      </c>
      <c r="D117" s="2" t="s">
        <v>425</v>
      </c>
      <c r="E117" s="2"/>
      <c r="F117" s="2" t="s">
        <v>434</v>
      </c>
      <c r="G117" s="4" t="s">
        <v>427</v>
      </c>
      <c r="H117" s="5" t="n">
        <v>300</v>
      </c>
      <c r="I117" s="4"/>
      <c r="J117" s="5"/>
      <c r="K117" s="4"/>
      <c r="L117" s="6" t="b">
        <f aca="false">TRUE()</f>
        <v>1</v>
      </c>
      <c r="M117" s="6" t="b">
        <f aca="false">FALSE()</f>
        <v>0</v>
      </c>
      <c r="N117" s="4"/>
      <c r="O117" s="6" t="b">
        <f aca="false">TRUE()</f>
        <v>1</v>
      </c>
      <c r="P117" s="2" t="s">
        <v>435</v>
      </c>
      <c r="Q117" s="2"/>
      <c r="R117" s="2" t="s">
        <v>30</v>
      </c>
      <c r="S117" s="3"/>
      <c r="T117" s="7" t="n">
        <v>0</v>
      </c>
      <c r="U117" s="8"/>
    </row>
    <row r="118" customFormat="false" ht="15" hidden="false" customHeight="false" outlineLevel="0" collapsed="false">
      <c r="A118" s="2" t="s">
        <v>436</v>
      </c>
      <c r="B118" s="3" t="s">
        <v>437</v>
      </c>
      <c r="C118" s="2" t="s">
        <v>424</v>
      </c>
      <c r="D118" s="2" t="s">
        <v>425</v>
      </c>
      <c r="E118" s="2"/>
      <c r="F118" s="2" t="s">
        <v>438</v>
      </c>
      <c r="G118" s="4" t="s">
        <v>427</v>
      </c>
      <c r="H118" s="5" t="n">
        <v>280</v>
      </c>
      <c r="I118" s="4"/>
      <c r="J118" s="5"/>
      <c r="K118" s="4"/>
      <c r="L118" s="6" t="b">
        <f aca="false">TRUE()</f>
        <v>1</v>
      </c>
      <c r="M118" s="6" t="b">
        <f aca="false">FALSE()</f>
        <v>0</v>
      </c>
      <c r="N118" s="4"/>
      <c r="O118" s="6" t="b">
        <f aca="false">TRUE()</f>
        <v>1</v>
      </c>
      <c r="P118" s="2" t="s">
        <v>439</v>
      </c>
      <c r="Q118" s="2"/>
      <c r="R118" s="2" t="s">
        <v>30</v>
      </c>
      <c r="S118" s="3"/>
      <c r="T118" s="7" t="n">
        <v>0</v>
      </c>
      <c r="U118" s="8"/>
    </row>
    <row r="119" customFormat="false" ht="15" hidden="false" customHeight="false" outlineLevel="0" collapsed="false">
      <c r="A119" s="2" t="s">
        <v>440</v>
      </c>
      <c r="B119" s="3" t="s">
        <v>441</v>
      </c>
      <c r="C119" s="2" t="s">
        <v>424</v>
      </c>
      <c r="D119" s="2" t="s">
        <v>425</v>
      </c>
      <c r="E119" s="2"/>
      <c r="F119" s="2" t="s">
        <v>438</v>
      </c>
      <c r="G119" s="4" t="s">
        <v>427</v>
      </c>
      <c r="H119" s="5" t="n">
        <v>280</v>
      </c>
      <c r="I119" s="4"/>
      <c r="J119" s="5"/>
      <c r="K119" s="4"/>
      <c r="L119" s="6" t="b">
        <f aca="false">TRUE()</f>
        <v>1</v>
      </c>
      <c r="M119" s="6" t="b">
        <f aca="false">FALSE()</f>
        <v>0</v>
      </c>
      <c r="N119" s="4"/>
      <c r="O119" s="6" t="b">
        <f aca="false">TRUE()</f>
        <v>1</v>
      </c>
      <c r="P119" s="2" t="s">
        <v>442</v>
      </c>
      <c r="Q119" s="2"/>
      <c r="R119" s="2" t="s">
        <v>30</v>
      </c>
      <c r="S119" s="3"/>
      <c r="T119" s="7" t="n">
        <v>0</v>
      </c>
      <c r="U119" s="8"/>
    </row>
    <row r="120" customFormat="false" ht="15" hidden="false" customHeight="false" outlineLevel="0" collapsed="false">
      <c r="A120" s="2" t="s">
        <v>443</v>
      </c>
      <c r="B120" s="3" t="s">
        <v>444</v>
      </c>
      <c r="C120" s="2" t="s">
        <v>424</v>
      </c>
      <c r="D120" s="2" t="s">
        <v>425</v>
      </c>
      <c r="E120" s="2"/>
      <c r="F120" s="2" t="s">
        <v>445</v>
      </c>
      <c r="G120" s="4" t="s">
        <v>427</v>
      </c>
      <c r="H120" s="5" t="n">
        <v>250</v>
      </c>
      <c r="I120" s="4"/>
      <c r="J120" s="5"/>
      <c r="K120" s="4"/>
      <c r="L120" s="6" t="b">
        <f aca="false">TRUE()</f>
        <v>1</v>
      </c>
      <c r="M120" s="6" t="b">
        <f aca="false">FALSE()</f>
        <v>0</v>
      </c>
      <c r="N120" s="4"/>
      <c r="O120" s="6" t="b">
        <f aca="false">TRUE()</f>
        <v>1</v>
      </c>
      <c r="P120" s="2" t="s">
        <v>446</v>
      </c>
      <c r="Q120" s="2"/>
      <c r="R120" s="2" t="s">
        <v>30</v>
      </c>
      <c r="S120" s="3"/>
      <c r="T120" s="7" t="n">
        <v>0</v>
      </c>
      <c r="U120" s="8"/>
    </row>
    <row r="121" customFormat="false" ht="15" hidden="false" customHeight="false" outlineLevel="0" collapsed="false">
      <c r="A121" s="2" t="s">
        <v>447</v>
      </c>
      <c r="B121" s="3" t="s">
        <v>448</v>
      </c>
      <c r="C121" s="2" t="s">
        <v>424</v>
      </c>
      <c r="D121" s="2" t="s">
        <v>425</v>
      </c>
      <c r="E121" s="2"/>
      <c r="F121" s="2" t="s">
        <v>445</v>
      </c>
      <c r="G121" s="4" t="s">
        <v>427</v>
      </c>
      <c r="H121" s="5" t="n">
        <v>250</v>
      </c>
      <c r="I121" s="4"/>
      <c r="J121" s="5"/>
      <c r="K121" s="4"/>
      <c r="L121" s="6" t="b">
        <f aca="false">TRUE()</f>
        <v>1</v>
      </c>
      <c r="M121" s="6" t="b">
        <f aca="false">FALSE()</f>
        <v>0</v>
      </c>
      <c r="N121" s="4"/>
      <c r="O121" s="6" t="b">
        <f aca="false">TRUE()</f>
        <v>1</v>
      </c>
      <c r="P121" s="2" t="s">
        <v>449</v>
      </c>
      <c r="Q121" s="2"/>
      <c r="R121" s="2" t="s">
        <v>30</v>
      </c>
      <c r="S121" s="3"/>
      <c r="T121" s="7" t="n">
        <v>0</v>
      </c>
      <c r="U121" s="8"/>
    </row>
    <row r="122" customFormat="false" ht="15" hidden="false" customHeight="false" outlineLevel="0" collapsed="false">
      <c r="A122" s="2" t="s">
        <v>450</v>
      </c>
      <c r="B122" s="3" t="s">
        <v>451</v>
      </c>
      <c r="C122" s="2" t="s">
        <v>424</v>
      </c>
      <c r="D122" s="2" t="s">
        <v>425</v>
      </c>
      <c r="E122" s="2"/>
      <c r="F122" s="2" t="s">
        <v>426</v>
      </c>
      <c r="G122" s="4" t="s">
        <v>427</v>
      </c>
      <c r="H122" s="5" t="n">
        <v>165</v>
      </c>
      <c r="I122" s="4"/>
      <c r="J122" s="5"/>
      <c r="K122" s="4"/>
      <c r="L122" s="6" t="b">
        <f aca="false">TRUE()</f>
        <v>1</v>
      </c>
      <c r="M122" s="6" t="b">
        <f aca="false">FALSE()</f>
        <v>0</v>
      </c>
      <c r="N122" s="4"/>
      <c r="O122" s="6" t="b">
        <f aca="false">TRUE()</f>
        <v>1</v>
      </c>
      <c r="P122" s="2" t="s">
        <v>452</v>
      </c>
      <c r="Q122" s="2"/>
      <c r="R122" s="2" t="s">
        <v>30</v>
      </c>
      <c r="S122" s="3"/>
      <c r="T122" s="7" t="n">
        <v>0</v>
      </c>
      <c r="U122" s="8"/>
    </row>
    <row r="123" customFormat="false" ht="15" hidden="false" customHeight="false" outlineLevel="0" collapsed="false">
      <c r="A123" s="2" t="s">
        <v>453</v>
      </c>
      <c r="B123" s="3" t="s">
        <v>454</v>
      </c>
      <c r="C123" s="2" t="s">
        <v>424</v>
      </c>
      <c r="D123" s="2" t="s">
        <v>425</v>
      </c>
      <c r="E123" s="2"/>
      <c r="F123" s="2" t="s">
        <v>438</v>
      </c>
      <c r="G123" s="4" t="s">
        <v>427</v>
      </c>
      <c r="H123" s="5" t="n">
        <v>315</v>
      </c>
      <c r="I123" s="4"/>
      <c r="J123" s="5"/>
      <c r="K123" s="4"/>
      <c r="L123" s="6" t="b">
        <f aca="false">TRUE()</f>
        <v>1</v>
      </c>
      <c r="M123" s="6" t="b">
        <f aca="false">FALSE()</f>
        <v>0</v>
      </c>
      <c r="N123" s="4"/>
      <c r="O123" s="6" t="b">
        <f aca="false">TRUE()</f>
        <v>1</v>
      </c>
      <c r="P123" s="2" t="s">
        <v>455</v>
      </c>
      <c r="Q123" s="2"/>
      <c r="R123" s="2" t="s">
        <v>30</v>
      </c>
      <c r="S123" s="3"/>
      <c r="T123" s="7" t="n">
        <v>0</v>
      </c>
      <c r="U123" s="8"/>
    </row>
    <row r="124" customFormat="false" ht="15" hidden="false" customHeight="false" outlineLevel="0" collapsed="false">
      <c r="A124" s="2" t="s">
        <v>456</v>
      </c>
      <c r="B124" s="3" t="s">
        <v>457</v>
      </c>
      <c r="C124" s="2" t="s">
        <v>424</v>
      </c>
      <c r="D124" s="2" t="s">
        <v>425</v>
      </c>
      <c r="E124" s="2"/>
      <c r="F124" s="2" t="s">
        <v>458</v>
      </c>
      <c r="G124" s="4" t="s">
        <v>427</v>
      </c>
      <c r="H124" s="5" t="n">
        <v>220</v>
      </c>
      <c r="I124" s="4"/>
      <c r="J124" s="5"/>
      <c r="K124" s="4"/>
      <c r="L124" s="6" t="b">
        <f aca="false">TRUE()</f>
        <v>1</v>
      </c>
      <c r="M124" s="6" t="b">
        <f aca="false">FALSE()</f>
        <v>0</v>
      </c>
      <c r="N124" s="4"/>
      <c r="O124" s="6" t="b">
        <f aca="false">TRUE()</f>
        <v>1</v>
      </c>
      <c r="P124" s="2" t="s">
        <v>459</v>
      </c>
      <c r="Q124" s="2"/>
      <c r="R124" s="2" t="s">
        <v>30</v>
      </c>
      <c r="S124" s="3"/>
      <c r="T124" s="7" t="n">
        <v>0</v>
      </c>
      <c r="U124" s="8"/>
    </row>
    <row r="125" customFormat="false" ht="15" hidden="false" customHeight="false" outlineLevel="0" collapsed="false">
      <c r="A125" s="2" t="s">
        <v>460</v>
      </c>
      <c r="B125" s="3" t="s">
        <v>461</v>
      </c>
      <c r="C125" s="2" t="s">
        <v>424</v>
      </c>
      <c r="D125" s="2" t="s">
        <v>425</v>
      </c>
      <c r="E125" s="2"/>
      <c r="F125" s="2" t="s">
        <v>458</v>
      </c>
      <c r="G125" s="4" t="s">
        <v>427</v>
      </c>
      <c r="H125" s="5" t="n">
        <v>220</v>
      </c>
      <c r="I125" s="4"/>
      <c r="J125" s="5"/>
      <c r="K125" s="4"/>
      <c r="L125" s="6" t="b">
        <f aca="false">TRUE()</f>
        <v>1</v>
      </c>
      <c r="M125" s="6" t="b">
        <f aca="false">FALSE()</f>
        <v>0</v>
      </c>
      <c r="N125" s="4"/>
      <c r="O125" s="6" t="b">
        <f aca="false">TRUE()</f>
        <v>1</v>
      </c>
      <c r="P125" s="2" t="s">
        <v>462</v>
      </c>
      <c r="Q125" s="2"/>
      <c r="R125" s="2" t="s">
        <v>30</v>
      </c>
      <c r="S125" s="3"/>
      <c r="T125" s="7" t="n">
        <v>100</v>
      </c>
      <c r="U125" s="8"/>
    </row>
    <row r="126" customFormat="false" ht="15" hidden="false" customHeight="false" outlineLevel="0" collapsed="false">
      <c r="A126" s="2" t="s">
        <v>463</v>
      </c>
      <c r="B126" s="3" t="s">
        <v>464</v>
      </c>
      <c r="C126" s="2" t="s">
        <v>424</v>
      </c>
      <c r="D126" s="2" t="s">
        <v>425</v>
      </c>
      <c r="E126" s="2"/>
      <c r="F126" s="2" t="s">
        <v>458</v>
      </c>
      <c r="G126" s="4" t="s">
        <v>427</v>
      </c>
      <c r="H126" s="5" t="n">
        <v>220</v>
      </c>
      <c r="I126" s="4"/>
      <c r="J126" s="5"/>
      <c r="K126" s="4"/>
      <c r="L126" s="6" t="b">
        <f aca="false">TRUE()</f>
        <v>1</v>
      </c>
      <c r="M126" s="6" t="b">
        <f aca="false">FALSE()</f>
        <v>0</v>
      </c>
      <c r="N126" s="4"/>
      <c r="O126" s="6" t="b">
        <f aca="false">TRUE()</f>
        <v>1</v>
      </c>
      <c r="P126" s="2" t="s">
        <v>465</v>
      </c>
      <c r="Q126" s="2"/>
      <c r="R126" s="2" t="s">
        <v>30</v>
      </c>
      <c r="S126" s="3"/>
      <c r="T126" s="7" t="n">
        <v>0</v>
      </c>
      <c r="U126" s="8"/>
    </row>
    <row r="127" customFormat="false" ht="15" hidden="false" customHeight="false" outlineLevel="0" collapsed="false">
      <c r="A127" s="2" t="s">
        <v>466</v>
      </c>
      <c r="B127" s="3" t="s">
        <v>467</v>
      </c>
      <c r="C127" s="2" t="s">
        <v>106</v>
      </c>
      <c r="D127" s="2" t="s">
        <v>107</v>
      </c>
      <c r="E127" s="2"/>
      <c r="F127" s="2" t="s">
        <v>108</v>
      </c>
      <c r="G127" s="4" t="s">
        <v>89</v>
      </c>
      <c r="H127" s="5" t="n">
        <v>98.9</v>
      </c>
      <c r="I127" s="4"/>
      <c r="J127" s="5"/>
      <c r="K127" s="4"/>
      <c r="L127" s="6" t="b">
        <f aca="false">TRUE()</f>
        <v>1</v>
      </c>
      <c r="M127" s="6" t="b">
        <f aca="false">FALSE()</f>
        <v>0</v>
      </c>
      <c r="N127" s="4"/>
      <c r="O127" s="6" t="b">
        <f aca="false">TRUE()</f>
        <v>1</v>
      </c>
      <c r="P127" s="2" t="s">
        <v>468</v>
      </c>
      <c r="Q127" s="2"/>
      <c r="R127" s="2" t="s">
        <v>30</v>
      </c>
      <c r="S127" s="3"/>
      <c r="T127" s="7" t="n">
        <v>0</v>
      </c>
      <c r="U127" s="8"/>
    </row>
    <row r="128" customFormat="false" ht="15" hidden="false" customHeight="false" outlineLevel="0" collapsed="false">
      <c r="A128" s="2" t="s">
        <v>469</v>
      </c>
      <c r="B128" s="3" t="s">
        <v>249</v>
      </c>
      <c r="C128" s="2" t="s">
        <v>106</v>
      </c>
      <c r="D128" s="2" t="s">
        <v>107</v>
      </c>
      <c r="E128" s="2"/>
      <c r="F128" s="2" t="s">
        <v>108</v>
      </c>
      <c r="G128" s="4" t="s">
        <v>89</v>
      </c>
      <c r="H128" s="5" t="n">
        <v>20</v>
      </c>
      <c r="I128" s="4"/>
      <c r="J128" s="5"/>
      <c r="K128" s="4"/>
      <c r="L128" s="6" t="b">
        <f aca="false">TRUE()</f>
        <v>1</v>
      </c>
      <c r="M128" s="6" t="b">
        <f aca="false">FALSE()</f>
        <v>0</v>
      </c>
      <c r="N128" s="4"/>
      <c r="O128" s="6" t="b">
        <f aca="false">TRUE()</f>
        <v>1</v>
      </c>
      <c r="P128" s="2" t="s">
        <v>470</v>
      </c>
      <c r="Q128" s="2"/>
      <c r="R128" s="2" t="s">
        <v>30</v>
      </c>
      <c r="S128" s="3"/>
      <c r="T128" s="7" t="n">
        <v>0</v>
      </c>
      <c r="U128" s="8"/>
    </row>
    <row r="129" customFormat="false" ht="15" hidden="false" customHeight="false" outlineLevel="0" collapsed="false">
      <c r="A129" s="2" t="s">
        <v>471</v>
      </c>
      <c r="B129" s="3" t="s">
        <v>76</v>
      </c>
      <c r="C129" s="2" t="s">
        <v>23</v>
      </c>
      <c r="D129" s="2" t="s">
        <v>24</v>
      </c>
      <c r="E129" s="2" t="s">
        <v>472</v>
      </c>
      <c r="F129" s="2" t="s">
        <v>112</v>
      </c>
      <c r="G129" s="4" t="s">
        <v>27</v>
      </c>
      <c r="H129" s="5" t="n">
        <v>25</v>
      </c>
      <c r="I129" s="4"/>
      <c r="J129" s="5"/>
      <c r="K129" s="4"/>
      <c r="L129" s="6" t="b">
        <f aca="false">TRUE()</f>
        <v>1</v>
      </c>
      <c r="M129" s="6" t="b">
        <f aca="false">FALSE()</f>
        <v>0</v>
      </c>
      <c r="N129" s="4"/>
      <c r="O129" s="6" t="b">
        <f aca="false">TRUE()</f>
        <v>1</v>
      </c>
      <c r="P129" s="2" t="s">
        <v>473</v>
      </c>
      <c r="Q129" s="2"/>
      <c r="R129" s="2" t="s">
        <v>30</v>
      </c>
      <c r="S129" s="3"/>
      <c r="T129" s="7" t="n">
        <v>0</v>
      </c>
      <c r="U129" s="8" t="n">
        <v>25</v>
      </c>
    </row>
    <row r="130" customFormat="false" ht="15" hidden="false" customHeight="false" outlineLevel="0" collapsed="false">
      <c r="A130" s="2" t="s">
        <v>474</v>
      </c>
      <c r="B130" s="3" t="s">
        <v>234</v>
      </c>
      <c r="C130" s="2" t="s">
        <v>23</v>
      </c>
      <c r="D130" s="2" t="s">
        <v>24</v>
      </c>
      <c r="E130" s="2" t="s">
        <v>472</v>
      </c>
      <c r="F130" s="2" t="s">
        <v>112</v>
      </c>
      <c r="G130" s="4" t="s">
        <v>27</v>
      </c>
      <c r="H130" s="5" t="n">
        <v>30</v>
      </c>
      <c r="I130" s="4"/>
      <c r="J130" s="5"/>
      <c r="K130" s="4"/>
      <c r="L130" s="6" t="b">
        <f aca="false">TRUE()</f>
        <v>1</v>
      </c>
      <c r="M130" s="6" t="b">
        <f aca="false">FALSE()</f>
        <v>0</v>
      </c>
      <c r="N130" s="4"/>
      <c r="O130" s="6" t="b">
        <f aca="false">TRUE()</f>
        <v>1</v>
      </c>
      <c r="P130" s="2" t="s">
        <v>475</v>
      </c>
      <c r="Q130" s="2"/>
      <c r="R130" s="2" t="s">
        <v>30</v>
      </c>
      <c r="S130" s="3"/>
      <c r="T130" s="7" t="n">
        <v>0</v>
      </c>
      <c r="U130" s="8" t="n">
        <v>38</v>
      </c>
    </row>
    <row r="131" customFormat="false" ht="15" hidden="false" customHeight="false" outlineLevel="0" collapsed="false">
      <c r="A131" s="2" t="s">
        <v>476</v>
      </c>
      <c r="B131" s="3" t="s">
        <v>477</v>
      </c>
      <c r="C131" s="2" t="s">
        <v>131</v>
      </c>
      <c r="D131" s="2" t="s">
        <v>132</v>
      </c>
      <c r="E131" s="2"/>
      <c r="F131" s="2" t="s">
        <v>478</v>
      </c>
      <c r="G131" s="4" t="s">
        <v>27</v>
      </c>
      <c r="H131" s="5" t="n">
        <v>27.8</v>
      </c>
      <c r="I131" s="4"/>
      <c r="J131" s="5"/>
      <c r="K131" s="4"/>
      <c r="L131" s="6" t="b">
        <f aca="false">TRUE()</f>
        <v>1</v>
      </c>
      <c r="M131" s="6" t="b">
        <f aca="false">FALSE()</f>
        <v>0</v>
      </c>
      <c r="N131" s="4"/>
      <c r="O131" s="6" t="b">
        <f aca="false">TRUE()</f>
        <v>1</v>
      </c>
      <c r="P131" s="2" t="s">
        <v>479</v>
      </c>
      <c r="Q131" s="2"/>
      <c r="R131" s="2" t="s">
        <v>30</v>
      </c>
      <c r="S131" s="3"/>
      <c r="T131" s="7" t="n">
        <v>0</v>
      </c>
      <c r="U131" s="8"/>
    </row>
    <row r="132" customFormat="false" ht="15" hidden="false" customHeight="false" outlineLevel="0" collapsed="false">
      <c r="A132" s="2" t="s">
        <v>480</v>
      </c>
      <c r="B132" s="3" t="s">
        <v>481</v>
      </c>
      <c r="C132" s="2" t="s">
        <v>131</v>
      </c>
      <c r="D132" s="2" t="s">
        <v>132</v>
      </c>
      <c r="E132" s="2"/>
      <c r="F132" s="2" t="s">
        <v>478</v>
      </c>
      <c r="G132" s="4" t="s">
        <v>27</v>
      </c>
      <c r="H132" s="5" t="n">
        <v>27.8</v>
      </c>
      <c r="I132" s="4"/>
      <c r="J132" s="5"/>
      <c r="K132" s="4"/>
      <c r="L132" s="6" t="b">
        <f aca="false">TRUE()</f>
        <v>1</v>
      </c>
      <c r="M132" s="6" t="b">
        <f aca="false">FALSE()</f>
        <v>0</v>
      </c>
      <c r="N132" s="4"/>
      <c r="O132" s="6" t="b">
        <f aca="false">TRUE()</f>
        <v>1</v>
      </c>
      <c r="P132" s="2" t="s">
        <v>482</v>
      </c>
      <c r="Q132" s="2"/>
      <c r="R132" s="2" t="s">
        <v>30</v>
      </c>
      <c r="S132" s="3"/>
      <c r="T132" s="7" t="n">
        <v>0</v>
      </c>
      <c r="U132" s="8"/>
    </row>
    <row r="133" customFormat="false" ht="15" hidden="false" customHeight="false" outlineLevel="0" collapsed="false">
      <c r="A133" s="2" t="s">
        <v>483</v>
      </c>
      <c r="B133" s="3" t="s">
        <v>484</v>
      </c>
      <c r="C133" s="2" t="s">
        <v>131</v>
      </c>
      <c r="D133" s="2" t="s">
        <v>132</v>
      </c>
      <c r="E133" s="2"/>
      <c r="F133" s="2" t="s">
        <v>478</v>
      </c>
      <c r="G133" s="4" t="s">
        <v>27</v>
      </c>
      <c r="H133" s="5" t="n">
        <v>27.8</v>
      </c>
      <c r="I133" s="4"/>
      <c r="J133" s="5"/>
      <c r="K133" s="4"/>
      <c r="L133" s="6" t="b">
        <f aca="false">TRUE()</f>
        <v>1</v>
      </c>
      <c r="M133" s="6" t="b">
        <f aca="false">FALSE()</f>
        <v>0</v>
      </c>
      <c r="N133" s="4"/>
      <c r="O133" s="6" t="b">
        <f aca="false">TRUE()</f>
        <v>1</v>
      </c>
      <c r="P133" s="2" t="s">
        <v>485</v>
      </c>
      <c r="Q133" s="2"/>
      <c r="R133" s="2" t="s">
        <v>30</v>
      </c>
      <c r="S133" s="3"/>
      <c r="T133" s="7" t="n">
        <v>0</v>
      </c>
      <c r="U133" s="8"/>
    </row>
    <row r="134" customFormat="false" ht="15" hidden="false" customHeight="false" outlineLevel="0" collapsed="false">
      <c r="A134" s="2" t="s">
        <v>486</v>
      </c>
      <c r="B134" s="3" t="s">
        <v>76</v>
      </c>
      <c r="C134" s="2" t="s">
        <v>23</v>
      </c>
      <c r="D134" s="2" t="s">
        <v>24</v>
      </c>
      <c r="E134" s="2" t="s">
        <v>195</v>
      </c>
      <c r="F134" s="2" t="s">
        <v>112</v>
      </c>
      <c r="G134" s="4" t="s">
        <v>27</v>
      </c>
      <c r="H134" s="5" t="n">
        <v>25</v>
      </c>
      <c r="I134" s="4"/>
      <c r="J134" s="5"/>
      <c r="K134" s="4"/>
      <c r="L134" s="6" t="b">
        <f aca="false">TRUE()</f>
        <v>1</v>
      </c>
      <c r="M134" s="6" t="b">
        <f aca="false">FALSE()</f>
        <v>0</v>
      </c>
      <c r="N134" s="4"/>
      <c r="O134" s="6" t="b">
        <f aca="false">TRUE()</f>
        <v>1</v>
      </c>
      <c r="P134" s="2" t="s">
        <v>487</v>
      </c>
      <c r="Q134" s="2"/>
      <c r="R134" s="2" t="s">
        <v>30</v>
      </c>
      <c r="S134" s="3"/>
      <c r="T134" s="7" t="n">
        <v>0</v>
      </c>
      <c r="U134" s="8"/>
    </row>
    <row r="135" customFormat="false" ht="15" hidden="false" customHeight="false" outlineLevel="0" collapsed="false">
      <c r="A135" s="2" t="s">
        <v>488</v>
      </c>
      <c r="B135" s="3" t="s">
        <v>60</v>
      </c>
      <c r="C135" s="2" t="s">
        <v>23</v>
      </c>
      <c r="D135" s="2" t="s">
        <v>24</v>
      </c>
      <c r="E135" s="2" t="s">
        <v>195</v>
      </c>
      <c r="F135" s="2" t="s">
        <v>112</v>
      </c>
      <c r="G135" s="4" t="s">
        <v>27</v>
      </c>
      <c r="H135" s="5" t="n">
        <v>45</v>
      </c>
      <c r="I135" s="4"/>
      <c r="J135" s="5"/>
      <c r="K135" s="4"/>
      <c r="L135" s="6" t="b">
        <f aca="false">TRUE()</f>
        <v>1</v>
      </c>
      <c r="M135" s="6" t="b">
        <f aca="false">FALSE()</f>
        <v>0</v>
      </c>
      <c r="N135" s="4"/>
      <c r="O135" s="6" t="b">
        <f aca="false">TRUE()</f>
        <v>1</v>
      </c>
      <c r="P135" s="2" t="s">
        <v>489</v>
      </c>
      <c r="Q135" s="2"/>
      <c r="R135" s="2" t="s">
        <v>30</v>
      </c>
      <c r="S135" s="3"/>
      <c r="T135" s="7" t="n">
        <v>1</v>
      </c>
      <c r="U135" s="8"/>
    </row>
    <row r="136" customFormat="false" ht="15" hidden="false" customHeight="false" outlineLevel="0" collapsed="false">
      <c r="A136" s="2" t="s">
        <v>490</v>
      </c>
      <c r="B136" s="3" t="s">
        <v>22</v>
      </c>
      <c r="C136" s="2" t="s">
        <v>23</v>
      </c>
      <c r="D136" s="2" t="s">
        <v>24</v>
      </c>
      <c r="E136" s="2" t="s">
        <v>195</v>
      </c>
      <c r="F136" s="2" t="s">
        <v>112</v>
      </c>
      <c r="G136" s="4" t="s">
        <v>27</v>
      </c>
      <c r="H136" s="5" t="n">
        <v>25</v>
      </c>
      <c r="I136" s="4"/>
      <c r="J136" s="5"/>
      <c r="K136" s="4"/>
      <c r="L136" s="6" t="b">
        <f aca="false">TRUE()</f>
        <v>1</v>
      </c>
      <c r="M136" s="6" t="b">
        <f aca="false">FALSE()</f>
        <v>0</v>
      </c>
      <c r="N136" s="4"/>
      <c r="O136" s="6" t="b">
        <f aca="false">TRUE()</f>
        <v>1</v>
      </c>
      <c r="P136" s="2" t="s">
        <v>491</v>
      </c>
      <c r="Q136" s="2"/>
      <c r="R136" s="2" t="s">
        <v>30</v>
      </c>
      <c r="S136" s="3"/>
      <c r="T136" s="7" t="n">
        <v>0</v>
      </c>
      <c r="U136" s="8"/>
    </row>
    <row r="137" customFormat="false" ht="23.85" hidden="false" customHeight="false" outlineLevel="0" collapsed="false">
      <c r="A137" s="2" t="s">
        <v>492</v>
      </c>
      <c r="B137" s="3" t="s">
        <v>493</v>
      </c>
      <c r="C137" s="2" t="s">
        <v>494</v>
      </c>
      <c r="D137" s="2" t="s">
        <v>495</v>
      </c>
      <c r="E137" s="2" t="s">
        <v>25</v>
      </c>
      <c r="F137" s="2" t="s">
        <v>496</v>
      </c>
      <c r="G137" s="4" t="s">
        <v>262</v>
      </c>
      <c r="H137" s="5" t="n">
        <v>27.8</v>
      </c>
      <c r="I137" s="4"/>
      <c r="J137" s="5"/>
      <c r="K137" s="4"/>
      <c r="L137" s="6" t="b">
        <f aca="false">TRUE()</f>
        <v>1</v>
      </c>
      <c r="M137" s="6" t="b">
        <f aca="false">FALSE()</f>
        <v>0</v>
      </c>
      <c r="N137" s="4"/>
      <c r="O137" s="6" t="b">
        <f aca="false">TRUE()</f>
        <v>1</v>
      </c>
      <c r="P137" s="2" t="s">
        <v>497</v>
      </c>
      <c r="Q137" s="2" t="s">
        <v>498</v>
      </c>
      <c r="R137" s="9" t="s">
        <v>127</v>
      </c>
      <c r="S137" s="3" t="s">
        <v>499</v>
      </c>
      <c r="T137" s="7" t="n">
        <v>0</v>
      </c>
      <c r="U137" s="8"/>
    </row>
    <row r="138" customFormat="false" ht="23.85" hidden="false" customHeight="false" outlineLevel="0" collapsed="false">
      <c r="A138" s="2" t="s">
        <v>500</v>
      </c>
      <c r="B138" s="3" t="s">
        <v>501</v>
      </c>
      <c r="C138" s="2" t="s">
        <v>494</v>
      </c>
      <c r="D138" s="2" t="s">
        <v>495</v>
      </c>
      <c r="E138" s="2" t="s">
        <v>25</v>
      </c>
      <c r="F138" s="2" t="s">
        <v>496</v>
      </c>
      <c r="G138" s="4" t="s">
        <v>262</v>
      </c>
      <c r="H138" s="5" t="n">
        <v>27.8</v>
      </c>
      <c r="I138" s="4"/>
      <c r="J138" s="5"/>
      <c r="K138" s="4"/>
      <c r="L138" s="6" t="b">
        <f aca="false">TRUE()</f>
        <v>1</v>
      </c>
      <c r="M138" s="6" t="b">
        <f aca="false">FALSE()</f>
        <v>0</v>
      </c>
      <c r="N138" s="4"/>
      <c r="O138" s="6" t="b">
        <f aca="false">TRUE()</f>
        <v>1</v>
      </c>
      <c r="P138" s="2" t="s">
        <v>502</v>
      </c>
      <c r="Q138" s="2" t="s">
        <v>503</v>
      </c>
      <c r="R138" s="9" t="s">
        <v>127</v>
      </c>
      <c r="S138" s="3" t="s">
        <v>499</v>
      </c>
      <c r="T138" s="7" t="n">
        <v>8</v>
      </c>
      <c r="U138" s="8"/>
    </row>
    <row r="139" customFormat="false" ht="23.85" hidden="false" customHeight="false" outlineLevel="0" collapsed="false">
      <c r="A139" s="2" t="s">
        <v>504</v>
      </c>
      <c r="B139" s="3" t="s">
        <v>505</v>
      </c>
      <c r="C139" s="2" t="s">
        <v>494</v>
      </c>
      <c r="D139" s="2" t="s">
        <v>495</v>
      </c>
      <c r="E139" s="2" t="s">
        <v>25</v>
      </c>
      <c r="F139" s="2" t="s">
        <v>496</v>
      </c>
      <c r="G139" s="4" t="s">
        <v>262</v>
      </c>
      <c r="H139" s="5" t="n">
        <v>27.8</v>
      </c>
      <c r="I139" s="4"/>
      <c r="J139" s="5"/>
      <c r="K139" s="4"/>
      <c r="L139" s="6" t="b">
        <f aca="false">TRUE()</f>
        <v>1</v>
      </c>
      <c r="M139" s="6" t="b">
        <f aca="false">FALSE()</f>
        <v>0</v>
      </c>
      <c r="N139" s="4"/>
      <c r="O139" s="6" t="b">
        <f aca="false">TRUE()</f>
        <v>1</v>
      </c>
      <c r="P139" s="2" t="s">
        <v>506</v>
      </c>
      <c r="Q139" s="2" t="s">
        <v>507</v>
      </c>
      <c r="R139" s="9" t="s">
        <v>127</v>
      </c>
      <c r="S139" s="3" t="s">
        <v>499</v>
      </c>
      <c r="T139" s="7" t="n">
        <v>0</v>
      </c>
      <c r="U139" s="8"/>
    </row>
    <row r="140" customFormat="false" ht="23.85" hidden="false" customHeight="false" outlineLevel="0" collapsed="false">
      <c r="A140" s="2" t="s">
        <v>508</v>
      </c>
      <c r="B140" s="3" t="s">
        <v>509</v>
      </c>
      <c r="C140" s="2" t="s">
        <v>494</v>
      </c>
      <c r="D140" s="2" t="s">
        <v>495</v>
      </c>
      <c r="E140" s="2" t="s">
        <v>25</v>
      </c>
      <c r="F140" s="2" t="s">
        <v>496</v>
      </c>
      <c r="G140" s="4" t="s">
        <v>262</v>
      </c>
      <c r="H140" s="5" t="n">
        <v>18.66</v>
      </c>
      <c r="I140" s="4"/>
      <c r="J140" s="5"/>
      <c r="K140" s="4"/>
      <c r="L140" s="6" t="b">
        <f aca="false">TRUE()</f>
        <v>1</v>
      </c>
      <c r="M140" s="6" t="b">
        <f aca="false">FALSE()</f>
        <v>0</v>
      </c>
      <c r="N140" s="4"/>
      <c r="O140" s="6" t="b">
        <f aca="false">TRUE()</f>
        <v>1</v>
      </c>
      <c r="P140" s="2" t="s">
        <v>510</v>
      </c>
      <c r="Q140" s="2" t="s">
        <v>511</v>
      </c>
      <c r="R140" s="9" t="s">
        <v>127</v>
      </c>
      <c r="S140" s="3" t="s">
        <v>499</v>
      </c>
      <c r="T140" s="7" t="n">
        <v>0</v>
      </c>
      <c r="U140" s="8"/>
    </row>
    <row r="141" customFormat="false" ht="23.85" hidden="false" customHeight="false" outlineLevel="0" collapsed="false">
      <c r="A141" s="2" t="s">
        <v>512</v>
      </c>
      <c r="B141" s="3" t="s">
        <v>513</v>
      </c>
      <c r="C141" s="2" t="s">
        <v>494</v>
      </c>
      <c r="D141" s="2" t="s">
        <v>495</v>
      </c>
      <c r="E141" s="2" t="s">
        <v>25</v>
      </c>
      <c r="F141" s="2" t="s">
        <v>496</v>
      </c>
      <c r="G141" s="4" t="s">
        <v>262</v>
      </c>
      <c r="H141" s="5" t="n">
        <v>18.66</v>
      </c>
      <c r="I141" s="4"/>
      <c r="J141" s="5"/>
      <c r="K141" s="4"/>
      <c r="L141" s="6" t="b">
        <f aca="false">TRUE()</f>
        <v>1</v>
      </c>
      <c r="M141" s="6" t="b">
        <f aca="false">FALSE()</f>
        <v>0</v>
      </c>
      <c r="N141" s="4"/>
      <c r="O141" s="6" t="b">
        <f aca="false">TRUE()</f>
        <v>1</v>
      </c>
      <c r="P141" s="2" t="s">
        <v>514</v>
      </c>
      <c r="Q141" s="2" t="s">
        <v>515</v>
      </c>
      <c r="R141" s="9" t="s">
        <v>127</v>
      </c>
      <c r="S141" s="3" t="s">
        <v>499</v>
      </c>
      <c r="T141" s="7" t="n">
        <v>7</v>
      </c>
      <c r="U141" s="8"/>
    </row>
    <row r="142" customFormat="false" ht="23.85" hidden="false" customHeight="false" outlineLevel="0" collapsed="false">
      <c r="A142" s="2" t="s">
        <v>516</v>
      </c>
      <c r="B142" s="3" t="s">
        <v>517</v>
      </c>
      <c r="C142" s="2" t="s">
        <v>494</v>
      </c>
      <c r="D142" s="2" t="s">
        <v>495</v>
      </c>
      <c r="E142" s="2" t="s">
        <v>25</v>
      </c>
      <c r="F142" s="2" t="s">
        <v>496</v>
      </c>
      <c r="G142" s="4" t="s">
        <v>262</v>
      </c>
      <c r="H142" s="5" t="n">
        <v>18.66</v>
      </c>
      <c r="I142" s="4"/>
      <c r="J142" s="5"/>
      <c r="K142" s="4"/>
      <c r="L142" s="6" t="b">
        <f aca="false">TRUE()</f>
        <v>1</v>
      </c>
      <c r="M142" s="6" t="b">
        <f aca="false">FALSE()</f>
        <v>0</v>
      </c>
      <c r="N142" s="4"/>
      <c r="O142" s="6" t="b">
        <f aca="false">TRUE()</f>
        <v>1</v>
      </c>
      <c r="P142" s="2" t="s">
        <v>518</v>
      </c>
      <c r="Q142" s="2" t="s">
        <v>519</v>
      </c>
      <c r="R142" s="9" t="s">
        <v>127</v>
      </c>
      <c r="S142" s="3" t="s">
        <v>499</v>
      </c>
      <c r="T142" s="7" t="n">
        <v>0</v>
      </c>
      <c r="U142" s="8"/>
    </row>
    <row r="143" customFormat="false" ht="15" hidden="false" customHeight="false" outlineLevel="0" collapsed="false">
      <c r="A143" s="2" t="s">
        <v>520</v>
      </c>
      <c r="B143" s="3" t="s">
        <v>68</v>
      </c>
      <c r="C143" s="2" t="s">
        <v>23</v>
      </c>
      <c r="D143" s="2" t="s">
        <v>87</v>
      </c>
      <c r="E143" s="2" t="s">
        <v>25</v>
      </c>
      <c r="F143" s="2" t="s">
        <v>88</v>
      </c>
      <c r="G143" s="4" t="s">
        <v>89</v>
      </c>
      <c r="H143" s="5" t="n">
        <v>12</v>
      </c>
      <c r="I143" s="4"/>
      <c r="J143" s="5"/>
      <c r="K143" s="4"/>
      <c r="L143" s="6" t="b">
        <f aca="false">TRUE()</f>
        <v>1</v>
      </c>
      <c r="M143" s="6" t="b">
        <f aca="false">FALSE()</f>
        <v>0</v>
      </c>
      <c r="N143" s="4"/>
      <c r="O143" s="6" t="b">
        <f aca="false">TRUE()</f>
        <v>1</v>
      </c>
      <c r="P143" s="2" t="s">
        <v>521</v>
      </c>
      <c r="Q143" s="2" t="s">
        <v>522</v>
      </c>
      <c r="R143" s="2" t="s">
        <v>30</v>
      </c>
      <c r="S143" s="3"/>
      <c r="T143" s="7" t="n">
        <v>0</v>
      </c>
      <c r="U143" s="8"/>
    </row>
    <row r="144" customFormat="false" ht="15" hidden="false" customHeight="false" outlineLevel="0" collapsed="false">
      <c r="A144" s="2" t="s">
        <v>523</v>
      </c>
      <c r="B144" s="3" t="s">
        <v>160</v>
      </c>
      <c r="C144" s="2" t="s">
        <v>106</v>
      </c>
      <c r="D144" s="2" t="s">
        <v>107</v>
      </c>
      <c r="E144" s="2" t="s">
        <v>524</v>
      </c>
      <c r="F144" s="2" t="s">
        <v>161</v>
      </c>
      <c r="G144" s="4" t="s">
        <v>27</v>
      </c>
      <c r="H144" s="5" t="n">
        <v>6.5</v>
      </c>
      <c r="I144" s="4"/>
      <c r="J144" s="5"/>
      <c r="K144" s="4"/>
      <c r="L144" s="6" t="b">
        <f aca="false">TRUE()</f>
        <v>1</v>
      </c>
      <c r="M144" s="6" t="b">
        <f aca="false">FALSE()</f>
        <v>0</v>
      </c>
      <c r="N144" s="4"/>
      <c r="O144" s="6" t="b">
        <f aca="false">TRUE()</f>
        <v>1</v>
      </c>
      <c r="P144" s="2" t="s">
        <v>525</v>
      </c>
      <c r="Q144" s="2"/>
      <c r="R144" s="2" t="s">
        <v>30</v>
      </c>
      <c r="S144" s="3"/>
      <c r="T144" s="7" t="n">
        <v>0</v>
      </c>
      <c r="U144" s="8"/>
    </row>
    <row r="145" customFormat="false" ht="15" hidden="false" customHeight="false" outlineLevel="0" collapsed="false">
      <c r="A145" s="2" t="s">
        <v>526</v>
      </c>
      <c r="B145" s="3" t="s">
        <v>234</v>
      </c>
      <c r="C145" s="2" t="s">
        <v>23</v>
      </c>
      <c r="D145" s="2" t="s">
        <v>24</v>
      </c>
      <c r="E145" s="2" t="s">
        <v>195</v>
      </c>
      <c r="F145" s="2" t="s">
        <v>112</v>
      </c>
      <c r="G145" s="4" t="s">
        <v>27</v>
      </c>
      <c r="H145" s="5" t="n">
        <v>25</v>
      </c>
      <c r="I145" s="4"/>
      <c r="J145" s="5"/>
      <c r="K145" s="4"/>
      <c r="L145" s="6" t="b">
        <f aca="false">TRUE()</f>
        <v>1</v>
      </c>
      <c r="M145" s="6" t="b">
        <f aca="false">FALSE()</f>
        <v>0</v>
      </c>
      <c r="N145" s="4"/>
      <c r="O145" s="6" t="b">
        <f aca="false">TRUE()</f>
        <v>1</v>
      </c>
      <c r="P145" s="2" t="s">
        <v>527</v>
      </c>
      <c r="Q145" s="2"/>
      <c r="R145" s="2" t="s">
        <v>30</v>
      </c>
      <c r="S145" s="3"/>
      <c r="T145" s="7" t="n">
        <v>20</v>
      </c>
      <c r="U145" s="8"/>
    </row>
    <row r="146" customFormat="false" ht="15" hidden="false" customHeight="false" outlineLevel="0" collapsed="false">
      <c r="A146" s="2" t="s">
        <v>528</v>
      </c>
      <c r="B146" s="3" t="s">
        <v>529</v>
      </c>
      <c r="C146" s="2" t="s">
        <v>23</v>
      </c>
      <c r="D146" s="2" t="s">
        <v>24</v>
      </c>
      <c r="E146" s="2" t="s">
        <v>25</v>
      </c>
      <c r="F146" s="2" t="s">
        <v>26</v>
      </c>
      <c r="G146" s="4" t="s">
        <v>27</v>
      </c>
      <c r="H146" s="5" t="n">
        <v>40</v>
      </c>
      <c r="I146" s="4"/>
      <c r="J146" s="5"/>
      <c r="K146" s="4"/>
      <c r="L146" s="6" t="b">
        <f aca="false">TRUE()</f>
        <v>1</v>
      </c>
      <c r="M146" s="6" t="b">
        <f aca="false">FALSE()</f>
        <v>0</v>
      </c>
      <c r="N146" s="4"/>
      <c r="O146" s="6" t="b">
        <f aca="false">TRUE()</f>
        <v>1</v>
      </c>
      <c r="P146" s="2" t="s">
        <v>530</v>
      </c>
      <c r="Q146" s="2" t="s">
        <v>531</v>
      </c>
      <c r="R146" s="2" t="s">
        <v>30</v>
      </c>
      <c r="S146" s="3"/>
      <c r="T146" s="7" t="n">
        <v>48</v>
      </c>
      <c r="U146" s="8" t="n">
        <v>48</v>
      </c>
    </row>
    <row r="147" customFormat="false" ht="23.85" hidden="false" customHeight="false" outlineLevel="0" collapsed="false">
      <c r="A147" s="2" t="s">
        <v>532</v>
      </c>
      <c r="B147" s="3" t="s">
        <v>533</v>
      </c>
      <c r="C147" s="2" t="s">
        <v>336</v>
      </c>
      <c r="D147" s="2" t="s">
        <v>337</v>
      </c>
      <c r="E147" s="2" t="s">
        <v>337</v>
      </c>
      <c r="F147" s="2" t="s">
        <v>338</v>
      </c>
      <c r="G147" s="4" t="s">
        <v>262</v>
      </c>
      <c r="H147" s="5" t="n">
        <v>2.6</v>
      </c>
      <c r="I147" s="4"/>
      <c r="J147" s="5"/>
      <c r="K147" s="4"/>
      <c r="L147" s="6" t="b">
        <f aca="false">TRUE()</f>
        <v>1</v>
      </c>
      <c r="M147" s="6" t="b">
        <f aca="false">FALSE()</f>
        <v>0</v>
      </c>
      <c r="N147" s="4"/>
      <c r="O147" s="6" t="b">
        <f aca="false">TRUE()</f>
        <v>1</v>
      </c>
      <c r="P147" s="2" t="s">
        <v>534</v>
      </c>
      <c r="Q147" s="2"/>
      <c r="R147" s="9" t="s">
        <v>127</v>
      </c>
      <c r="S147" s="3" t="s">
        <v>340</v>
      </c>
      <c r="T147" s="7" t="n">
        <v>92</v>
      </c>
      <c r="U147" s="8" t="n">
        <v>3.5</v>
      </c>
    </row>
    <row r="148" customFormat="false" ht="15" hidden="false" customHeight="false" outlineLevel="0" collapsed="false">
      <c r="A148" s="2" t="s">
        <v>535</v>
      </c>
      <c r="B148" s="3" t="s">
        <v>44</v>
      </c>
      <c r="C148" s="2" t="s">
        <v>23</v>
      </c>
      <c r="D148" s="2" t="s">
        <v>87</v>
      </c>
      <c r="E148" s="2" t="s">
        <v>25</v>
      </c>
      <c r="F148" s="2" t="s">
        <v>88</v>
      </c>
      <c r="G148" s="4" t="s">
        <v>89</v>
      </c>
      <c r="H148" s="5" t="n">
        <v>12</v>
      </c>
      <c r="I148" s="4"/>
      <c r="J148" s="5"/>
      <c r="K148" s="4"/>
      <c r="L148" s="6" t="b">
        <f aca="false">TRUE()</f>
        <v>1</v>
      </c>
      <c r="M148" s="6" t="b">
        <f aca="false">FALSE()</f>
        <v>0</v>
      </c>
      <c r="N148" s="4"/>
      <c r="O148" s="6" t="b">
        <f aca="false">TRUE()</f>
        <v>1</v>
      </c>
      <c r="P148" s="2" t="s">
        <v>536</v>
      </c>
      <c r="Q148" s="2" t="s">
        <v>537</v>
      </c>
      <c r="R148" s="2" t="s">
        <v>30</v>
      </c>
      <c r="S148" s="3"/>
      <c r="T148" s="7" t="n">
        <v>24</v>
      </c>
      <c r="U148" s="8"/>
    </row>
    <row r="149" customFormat="false" ht="15" hidden="false" customHeight="false" outlineLevel="0" collapsed="false">
      <c r="A149" s="2" t="s">
        <v>538</v>
      </c>
      <c r="B149" s="3" t="s">
        <v>130</v>
      </c>
      <c r="C149" s="2" t="s">
        <v>131</v>
      </c>
      <c r="D149" s="2" t="s">
        <v>132</v>
      </c>
      <c r="E149" s="2"/>
      <c r="F149" s="2" t="s">
        <v>478</v>
      </c>
      <c r="G149" s="4" t="s">
        <v>27</v>
      </c>
      <c r="H149" s="5" t="n">
        <v>28</v>
      </c>
      <c r="I149" s="4"/>
      <c r="J149" s="5"/>
      <c r="K149" s="4"/>
      <c r="L149" s="6" t="b">
        <f aca="false">TRUE()</f>
        <v>1</v>
      </c>
      <c r="M149" s="6" t="b">
        <f aca="false">FALSE()</f>
        <v>0</v>
      </c>
      <c r="N149" s="4"/>
      <c r="O149" s="6" t="b">
        <f aca="false">TRUE()</f>
        <v>1</v>
      </c>
      <c r="P149" s="2" t="s">
        <v>539</v>
      </c>
      <c r="Q149" s="2"/>
      <c r="R149" s="2" t="s">
        <v>30</v>
      </c>
      <c r="S149" s="3"/>
      <c r="T149" s="7" t="n">
        <v>0</v>
      </c>
      <c r="U149" s="8"/>
    </row>
    <row r="150" customFormat="false" ht="15" hidden="false" customHeight="false" outlineLevel="0" collapsed="false">
      <c r="A150" s="2" t="s">
        <v>540</v>
      </c>
      <c r="B150" s="3" t="s">
        <v>541</v>
      </c>
      <c r="C150" s="2" t="s">
        <v>106</v>
      </c>
      <c r="D150" s="2" t="s">
        <v>107</v>
      </c>
      <c r="E150" s="2"/>
      <c r="F150" s="2" t="s">
        <v>108</v>
      </c>
      <c r="G150" s="4" t="s">
        <v>89</v>
      </c>
      <c r="H150" s="5" t="n">
        <v>35</v>
      </c>
      <c r="I150" s="4"/>
      <c r="J150" s="5"/>
      <c r="K150" s="4"/>
      <c r="L150" s="6" t="b">
        <f aca="false">TRUE()</f>
        <v>1</v>
      </c>
      <c r="M150" s="6" t="b">
        <f aca="false">FALSE()</f>
        <v>0</v>
      </c>
      <c r="N150" s="4"/>
      <c r="O150" s="6" t="b">
        <f aca="false">TRUE()</f>
        <v>1</v>
      </c>
      <c r="P150" s="2" t="s">
        <v>542</v>
      </c>
      <c r="Q150" s="2"/>
      <c r="R150" s="2" t="s">
        <v>30</v>
      </c>
      <c r="S150" s="3"/>
      <c r="T150" s="7" t="n">
        <v>0</v>
      </c>
      <c r="U150" s="8"/>
    </row>
    <row r="151" customFormat="false" ht="23.85" hidden="false" customHeight="false" outlineLevel="0" collapsed="false">
      <c r="A151" s="2" t="s">
        <v>543</v>
      </c>
      <c r="B151" s="3" t="s">
        <v>544</v>
      </c>
      <c r="C151" s="2" t="s">
        <v>336</v>
      </c>
      <c r="D151" s="2" t="s">
        <v>337</v>
      </c>
      <c r="E151" s="2" t="s">
        <v>337</v>
      </c>
      <c r="F151" s="2" t="s">
        <v>338</v>
      </c>
      <c r="G151" s="4" t="s">
        <v>262</v>
      </c>
      <c r="H151" s="5" t="n">
        <v>2.6</v>
      </c>
      <c r="I151" s="4"/>
      <c r="J151" s="5"/>
      <c r="K151" s="4"/>
      <c r="L151" s="6" t="b">
        <f aca="false">TRUE()</f>
        <v>1</v>
      </c>
      <c r="M151" s="6" t="b">
        <f aca="false">FALSE()</f>
        <v>0</v>
      </c>
      <c r="N151" s="4"/>
      <c r="O151" s="6" t="b">
        <f aca="false">TRUE()</f>
        <v>1</v>
      </c>
      <c r="P151" s="2" t="s">
        <v>545</v>
      </c>
      <c r="Q151" s="2"/>
      <c r="R151" s="9" t="s">
        <v>127</v>
      </c>
      <c r="S151" s="3" t="s">
        <v>340</v>
      </c>
      <c r="T151" s="7" t="n">
        <v>13</v>
      </c>
      <c r="U151" s="8" t="n">
        <v>3.5</v>
      </c>
    </row>
    <row r="152" customFormat="false" ht="23.85" hidden="false" customHeight="false" outlineLevel="0" collapsed="false">
      <c r="A152" s="2" t="s">
        <v>546</v>
      </c>
      <c r="B152" s="3" t="s">
        <v>547</v>
      </c>
      <c r="C152" s="2" t="s">
        <v>336</v>
      </c>
      <c r="D152" s="2" t="s">
        <v>337</v>
      </c>
      <c r="E152" s="2" t="s">
        <v>337</v>
      </c>
      <c r="F152" s="2" t="s">
        <v>338</v>
      </c>
      <c r="G152" s="4" t="s">
        <v>262</v>
      </c>
      <c r="H152" s="5" t="n">
        <v>2.6</v>
      </c>
      <c r="I152" s="4"/>
      <c r="J152" s="5"/>
      <c r="K152" s="4"/>
      <c r="L152" s="6" t="b">
        <f aca="false">TRUE()</f>
        <v>1</v>
      </c>
      <c r="M152" s="6" t="b">
        <f aca="false">FALSE()</f>
        <v>0</v>
      </c>
      <c r="N152" s="4"/>
      <c r="O152" s="6" t="b">
        <f aca="false">TRUE()</f>
        <v>1</v>
      </c>
      <c r="P152" s="2" t="s">
        <v>548</v>
      </c>
      <c r="Q152" s="2"/>
      <c r="R152" s="9" t="s">
        <v>127</v>
      </c>
      <c r="S152" s="3" t="s">
        <v>340</v>
      </c>
      <c r="T152" s="7" t="n">
        <v>12</v>
      </c>
      <c r="U152" s="8" t="n">
        <v>3.5</v>
      </c>
    </row>
    <row r="153" customFormat="false" ht="15" hidden="false" customHeight="false" outlineLevel="0" collapsed="false">
      <c r="A153" s="2" t="s">
        <v>549</v>
      </c>
      <c r="B153" s="3" t="s">
        <v>550</v>
      </c>
      <c r="C153" s="2" t="s">
        <v>106</v>
      </c>
      <c r="D153" s="2" t="s">
        <v>107</v>
      </c>
      <c r="E153" s="2"/>
      <c r="F153" s="2" t="s">
        <v>108</v>
      </c>
      <c r="G153" s="4" t="s">
        <v>89</v>
      </c>
      <c r="H153" s="5" t="n">
        <v>58</v>
      </c>
      <c r="I153" s="4"/>
      <c r="J153" s="5"/>
      <c r="K153" s="4"/>
      <c r="L153" s="6" t="b">
        <f aca="false">TRUE()</f>
        <v>1</v>
      </c>
      <c r="M153" s="6" t="b">
        <f aca="false">FALSE()</f>
        <v>0</v>
      </c>
      <c r="N153" s="4"/>
      <c r="O153" s="6" t="b">
        <f aca="false">TRUE()</f>
        <v>1</v>
      </c>
      <c r="P153" s="2" t="s">
        <v>551</v>
      </c>
      <c r="Q153" s="2"/>
      <c r="R153" s="2" t="s">
        <v>30</v>
      </c>
      <c r="S153" s="3"/>
      <c r="T153" s="7" t="n">
        <v>0</v>
      </c>
      <c r="U153" s="8"/>
    </row>
    <row r="154" customFormat="false" ht="15" hidden="false" customHeight="false" outlineLevel="0" collapsed="false">
      <c r="A154" s="2" t="s">
        <v>552</v>
      </c>
      <c r="B154" s="3" t="s">
        <v>553</v>
      </c>
      <c r="C154" s="2" t="s">
        <v>336</v>
      </c>
      <c r="D154" s="2" t="s">
        <v>554</v>
      </c>
      <c r="E154" s="2" t="s">
        <v>555</v>
      </c>
      <c r="F154" s="2" t="s">
        <v>556</v>
      </c>
      <c r="G154" s="4" t="s">
        <v>262</v>
      </c>
      <c r="H154" s="5" t="n">
        <v>2.7</v>
      </c>
      <c r="I154" s="4"/>
      <c r="J154" s="5"/>
      <c r="K154" s="4"/>
      <c r="L154" s="6" t="b">
        <f aca="false">TRUE()</f>
        <v>1</v>
      </c>
      <c r="M154" s="6" t="b">
        <f aca="false">FALSE()</f>
        <v>0</v>
      </c>
      <c r="N154" s="4"/>
      <c r="O154" s="6" t="b">
        <f aca="false">TRUE()</f>
        <v>1</v>
      </c>
      <c r="P154" s="2" t="s">
        <v>557</v>
      </c>
      <c r="Q154" s="2"/>
      <c r="R154" s="9" t="s">
        <v>127</v>
      </c>
      <c r="S154" s="3" t="s">
        <v>558</v>
      </c>
      <c r="T154" s="7" t="n">
        <v>0</v>
      </c>
      <c r="U154" s="8"/>
    </row>
    <row r="155" customFormat="false" ht="23.85" hidden="false" customHeight="false" outlineLevel="0" collapsed="false">
      <c r="A155" s="2" t="s">
        <v>559</v>
      </c>
      <c r="B155" s="3" t="s">
        <v>560</v>
      </c>
      <c r="C155" s="2" t="s">
        <v>336</v>
      </c>
      <c r="D155" s="2" t="s">
        <v>337</v>
      </c>
      <c r="E155" s="2" t="s">
        <v>337</v>
      </c>
      <c r="F155" s="2" t="s">
        <v>338</v>
      </c>
      <c r="G155" s="4" t="s">
        <v>262</v>
      </c>
      <c r="H155" s="5" t="n">
        <v>2.6</v>
      </c>
      <c r="I155" s="4"/>
      <c r="J155" s="5"/>
      <c r="K155" s="4"/>
      <c r="L155" s="6" t="b">
        <f aca="false">TRUE()</f>
        <v>1</v>
      </c>
      <c r="M155" s="6" t="b">
        <f aca="false">FALSE()</f>
        <v>0</v>
      </c>
      <c r="N155" s="4"/>
      <c r="O155" s="6" t="b">
        <f aca="false">TRUE()</f>
        <v>1</v>
      </c>
      <c r="P155" s="2" t="s">
        <v>561</v>
      </c>
      <c r="Q155" s="2"/>
      <c r="R155" s="9" t="s">
        <v>127</v>
      </c>
      <c r="S155" s="3" t="s">
        <v>340</v>
      </c>
      <c r="T155" s="7" t="n">
        <v>9</v>
      </c>
      <c r="U155" s="8" t="n">
        <v>3.5</v>
      </c>
    </row>
  </sheetData>
  <autoFilter ref="A1:U155"/>
  <dataValidations count="7">
    <dataValidation allowBlank="true" errorStyle="stop" operator="between" showDropDown="false" showErrorMessage="false" showInputMessage="false" sqref="C2:C455" type="list">
      <formula1>"polpas,frutas,acai-cremes,gelo,sobremesas,salgados,peixes"</formula1>
      <formula2>0</formula2>
    </dataValidation>
    <dataValidation allowBlank="true" errorStyle="stop" operator="between" showDropDown="false" showErrorMessage="false" showInputMessage="false" sqref="G2:G455" type="list">
      <formula1>"un,pacote,kg,caixa,bandeja"</formula1>
      <formula2>0</formula2>
    </dataValidation>
    <dataValidation allowBlank="true" errorStyle="stop" operator="between" showDropDown="false" showErrorMessage="false" showInputMessage="false" sqref="L2:L455" type="list">
      <formula1>"TRUE,FALSE"</formula1>
      <formula2>0</formula2>
    </dataValidation>
    <dataValidation allowBlank="true" errorStyle="stop" operator="between" showDropDown="false" showErrorMessage="false" showInputMessage="false" sqref="M2:M455" type="list">
      <formula1>"TRUE,FALSE"</formula1>
      <formula2>0</formula2>
    </dataValidation>
    <dataValidation allowBlank="true" errorStyle="stop" operator="between" showDropDown="false" showErrorMessage="false" showInputMessage="false" sqref="O2:O455" type="list">
      <formula1>"TRUE,FALSE"</formula1>
      <formula2>0</formula2>
    </dataValidation>
    <dataValidation allowBlank="true" errorStyle="stop" operator="between" showDropDown="false" showErrorMessage="false" showInputMessage="false" sqref="R2:R455" type="list">
      <formula1>"Ok,Conferir"</formula1>
      <formula2>0</formula2>
    </dataValidation>
    <dataValidation allowBlank="true" error="Digite só o número, ex.: 12,50" errorStyle="stop" operator="greaterThanOrEqual" showDropDown="false" showErrorMessage="false" showInputMessage="false" sqref="H2:J455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3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5" min="5" style="0" width="24"/>
    <col collapsed="false" customWidth="true" hidden="false" outlineLevel="0" max="6" min="6" style="0" width="16"/>
    <col collapsed="false" customWidth="true" hidden="false" outlineLevel="0" max="7" min="7" style="0" width="18"/>
  </cols>
  <sheetData>
    <row r="1" customFormat="false" ht="15" hidden="false" customHeight="false" outlineLevel="0" collapsed="false">
      <c r="A1" s="10" t="s">
        <v>562</v>
      </c>
    </row>
    <row r="2" customFormat="false" ht="15" hidden="false" customHeight="false" outlineLevel="0" collapsed="false">
      <c r="A2" s="11" t="s">
        <v>563</v>
      </c>
    </row>
    <row r="4" customFormat="false" ht="15" hidden="false" customHeight="false" outlineLevel="0" collapsed="false">
      <c r="A4" s="12" t="s">
        <v>1</v>
      </c>
      <c r="B4" s="12" t="s">
        <v>2</v>
      </c>
      <c r="C4" s="12" t="s">
        <v>3</v>
      </c>
      <c r="D4" s="12" t="s">
        <v>4</v>
      </c>
      <c r="E4" s="12" t="s">
        <v>5</v>
      </c>
      <c r="F4" s="12" t="s">
        <v>16</v>
      </c>
      <c r="G4" s="12" t="s">
        <v>564</v>
      </c>
    </row>
    <row r="5" customFormat="false" ht="15" hidden="false" customHeight="false" outlineLevel="0" collapsed="false">
      <c r="A5" s="11" t="s">
        <v>32</v>
      </c>
      <c r="B5" s="11" t="s">
        <v>23</v>
      </c>
      <c r="C5" s="11" t="s">
        <v>87</v>
      </c>
      <c r="D5" s="11" t="s">
        <v>25</v>
      </c>
      <c r="E5" s="11" t="s">
        <v>565</v>
      </c>
      <c r="F5" s="11" t="s">
        <v>566</v>
      </c>
      <c r="G5" s="11"/>
    </row>
    <row r="6" customFormat="false" ht="15" hidden="false" customHeight="false" outlineLevel="0" collapsed="false">
      <c r="A6" s="11" t="s">
        <v>36</v>
      </c>
      <c r="B6" s="11" t="s">
        <v>23</v>
      </c>
      <c r="C6" s="11" t="s">
        <v>87</v>
      </c>
      <c r="D6" s="11" t="s">
        <v>25</v>
      </c>
      <c r="E6" s="11" t="s">
        <v>565</v>
      </c>
      <c r="F6" s="11" t="s">
        <v>567</v>
      </c>
      <c r="G6" s="11"/>
    </row>
    <row r="7" customFormat="false" ht="15" hidden="false" customHeight="false" outlineLevel="0" collapsed="false">
      <c r="A7" s="11" t="s">
        <v>136</v>
      </c>
      <c r="B7" s="11" t="s">
        <v>23</v>
      </c>
      <c r="C7" s="11" t="s">
        <v>87</v>
      </c>
      <c r="D7" s="11" t="s">
        <v>25</v>
      </c>
      <c r="E7" s="11" t="s">
        <v>565</v>
      </c>
      <c r="F7" s="11" t="s">
        <v>568</v>
      </c>
      <c r="G7" s="11"/>
    </row>
    <row r="8" customFormat="false" ht="15" hidden="false" customHeight="false" outlineLevel="0" collapsed="false">
      <c r="A8" s="11" t="s">
        <v>83</v>
      </c>
      <c r="B8" s="11" t="s">
        <v>23</v>
      </c>
      <c r="C8" s="11" t="s">
        <v>87</v>
      </c>
      <c r="D8" s="11" t="s">
        <v>25</v>
      </c>
      <c r="E8" s="11" t="s">
        <v>565</v>
      </c>
      <c r="F8" s="11" t="s">
        <v>569</v>
      </c>
      <c r="G8" s="11"/>
    </row>
    <row r="9" customFormat="false" ht="15" hidden="false" customHeight="false" outlineLevel="0" collapsed="false">
      <c r="A9" s="11" t="s">
        <v>570</v>
      </c>
      <c r="B9" s="11" t="s">
        <v>23</v>
      </c>
      <c r="C9" s="11" t="s">
        <v>571</v>
      </c>
      <c r="D9" s="11" t="s">
        <v>25</v>
      </c>
      <c r="E9" s="11" t="s">
        <v>572</v>
      </c>
      <c r="F9" s="11" t="s">
        <v>573</v>
      </c>
      <c r="G9" s="11"/>
    </row>
    <row r="10" customFormat="false" ht="15" hidden="false" customHeight="false" outlineLevel="0" collapsed="false">
      <c r="A10" s="11" t="s">
        <v>574</v>
      </c>
      <c r="B10" s="11" t="s">
        <v>23</v>
      </c>
      <c r="C10" s="11" t="s">
        <v>571</v>
      </c>
      <c r="D10" s="11" t="s">
        <v>25</v>
      </c>
      <c r="E10" s="11" t="s">
        <v>572</v>
      </c>
      <c r="F10" s="11" t="s">
        <v>575</v>
      </c>
      <c r="G10" s="11"/>
    </row>
    <row r="11" customFormat="false" ht="15" hidden="false" customHeight="false" outlineLevel="0" collapsed="false">
      <c r="A11" s="11" t="s">
        <v>576</v>
      </c>
      <c r="B11" s="11" t="s">
        <v>23</v>
      </c>
      <c r="C11" s="11" t="s">
        <v>571</v>
      </c>
      <c r="D11" s="11" t="s">
        <v>25</v>
      </c>
      <c r="E11" s="11" t="s">
        <v>572</v>
      </c>
      <c r="F11" s="11" t="s">
        <v>577</v>
      </c>
      <c r="G11" s="11"/>
    </row>
    <row r="12" customFormat="false" ht="15" hidden="false" customHeight="false" outlineLevel="0" collapsed="false">
      <c r="A12" s="11" t="s">
        <v>578</v>
      </c>
      <c r="B12" s="11" t="s">
        <v>23</v>
      </c>
      <c r="C12" s="11" t="s">
        <v>571</v>
      </c>
      <c r="D12" s="11" t="s">
        <v>25</v>
      </c>
      <c r="E12" s="11" t="s">
        <v>572</v>
      </c>
      <c r="F12" s="11" t="s">
        <v>579</v>
      </c>
      <c r="G12" s="11"/>
    </row>
    <row r="13" customFormat="false" ht="15" hidden="false" customHeight="false" outlineLevel="0" collapsed="false">
      <c r="A13" s="11" t="s">
        <v>580</v>
      </c>
      <c r="B13" s="11" t="s">
        <v>23</v>
      </c>
      <c r="C13" s="11" t="s">
        <v>571</v>
      </c>
      <c r="D13" s="11" t="s">
        <v>25</v>
      </c>
      <c r="E13" s="11" t="s">
        <v>572</v>
      </c>
      <c r="F13" s="11" t="s">
        <v>581</v>
      </c>
      <c r="G13" s="11"/>
    </row>
    <row r="14" customFormat="false" ht="15" hidden="false" customHeight="false" outlineLevel="0" collapsed="false">
      <c r="A14" s="11" t="s">
        <v>582</v>
      </c>
      <c r="B14" s="11" t="s">
        <v>23</v>
      </c>
      <c r="C14" s="11" t="s">
        <v>571</v>
      </c>
      <c r="D14" s="11" t="s">
        <v>25</v>
      </c>
      <c r="E14" s="11" t="s">
        <v>572</v>
      </c>
      <c r="F14" s="11" t="s">
        <v>583</v>
      </c>
      <c r="G14" s="11"/>
    </row>
    <row r="15" customFormat="false" ht="15" hidden="false" customHeight="false" outlineLevel="0" collapsed="false">
      <c r="A15" s="11" t="s">
        <v>584</v>
      </c>
      <c r="B15" s="11" t="s">
        <v>23</v>
      </c>
      <c r="C15" s="11" t="s">
        <v>571</v>
      </c>
      <c r="D15" s="11" t="s">
        <v>25</v>
      </c>
      <c r="E15" s="11" t="s">
        <v>572</v>
      </c>
      <c r="F15" s="11" t="s">
        <v>585</v>
      </c>
      <c r="G15" s="11"/>
    </row>
    <row r="16" customFormat="false" ht="15" hidden="false" customHeight="false" outlineLevel="0" collapsed="false">
      <c r="A16" s="11" t="s">
        <v>586</v>
      </c>
      <c r="B16" s="11" t="s">
        <v>23</v>
      </c>
      <c r="C16" s="11" t="s">
        <v>571</v>
      </c>
      <c r="D16" s="11" t="s">
        <v>25</v>
      </c>
      <c r="E16" s="11" t="s">
        <v>572</v>
      </c>
      <c r="F16" s="11" t="s">
        <v>587</v>
      </c>
      <c r="G16" s="11"/>
    </row>
    <row r="17" customFormat="false" ht="15" hidden="false" customHeight="false" outlineLevel="0" collapsed="false">
      <c r="A17" s="11" t="s">
        <v>588</v>
      </c>
      <c r="B17" s="11" t="s">
        <v>23</v>
      </c>
      <c r="C17" s="11" t="s">
        <v>571</v>
      </c>
      <c r="D17" s="11" t="s">
        <v>25</v>
      </c>
      <c r="E17" s="11" t="s">
        <v>572</v>
      </c>
      <c r="F17" s="11" t="s">
        <v>589</v>
      </c>
      <c r="G17" s="11"/>
    </row>
    <row r="18" customFormat="false" ht="15" hidden="false" customHeight="false" outlineLevel="0" collapsed="false">
      <c r="A18" s="11" t="s">
        <v>590</v>
      </c>
      <c r="B18" s="11" t="s">
        <v>23</v>
      </c>
      <c r="C18" s="11" t="s">
        <v>571</v>
      </c>
      <c r="D18" s="11" t="s">
        <v>25</v>
      </c>
      <c r="E18" s="11" t="s">
        <v>572</v>
      </c>
      <c r="F18" s="11" t="s">
        <v>591</v>
      </c>
      <c r="G18" s="11"/>
    </row>
    <row r="19" customFormat="false" ht="15" hidden="false" customHeight="false" outlineLevel="0" collapsed="false">
      <c r="A19" s="11" t="s">
        <v>282</v>
      </c>
      <c r="B19" s="11" t="s">
        <v>199</v>
      </c>
      <c r="C19" s="11" t="s">
        <v>200</v>
      </c>
      <c r="D19" s="11" t="s">
        <v>592</v>
      </c>
      <c r="E19" s="11" t="s">
        <v>565</v>
      </c>
      <c r="F19" s="11"/>
      <c r="G19" s="11"/>
    </row>
    <row r="20" customFormat="false" ht="15" hidden="false" customHeight="false" outlineLevel="0" collapsed="false">
      <c r="A20" s="11" t="s">
        <v>282</v>
      </c>
      <c r="B20" s="11" t="s">
        <v>199</v>
      </c>
      <c r="C20" s="11" t="s">
        <v>200</v>
      </c>
      <c r="D20" s="11" t="s">
        <v>592</v>
      </c>
      <c r="E20" s="11" t="s">
        <v>593</v>
      </c>
      <c r="F20" s="11"/>
      <c r="G20" s="11"/>
    </row>
    <row r="21" customFormat="false" ht="15" hidden="false" customHeight="false" outlineLevel="0" collapsed="false">
      <c r="A21" s="11" t="s">
        <v>594</v>
      </c>
      <c r="B21" s="11" t="s">
        <v>199</v>
      </c>
      <c r="C21" s="11" t="s">
        <v>200</v>
      </c>
      <c r="D21" s="11" t="s">
        <v>592</v>
      </c>
      <c r="E21" s="11" t="s">
        <v>565</v>
      </c>
      <c r="F21" s="11"/>
      <c r="G21" s="11"/>
    </row>
    <row r="22" customFormat="false" ht="15" hidden="false" customHeight="false" outlineLevel="0" collapsed="false">
      <c r="A22" s="11" t="s">
        <v>203</v>
      </c>
      <c r="B22" s="11" t="s">
        <v>199</v>
      </c>
      <c r="C22" s="11" t="s">
        <v>200</v>
      </c>
      <c r="D22" s="11" t="s">
        <v>592</v>
      </c>
      <c r="E22" s="11" t="s">
        <v>565</v>
      </c>
      <c r="F22" s="11"/>
      <c r="G22" s="11"/>
    </row>
    <row r="23" customFormat="false" ht="15" hidden="false" customHeight="false" outlineLevel="0" collapsed="false">
      <c r="A23" s="11" t="s">
        <v>595</v>
      </c>
      <c r="B23" s="11" t="s">
        <v>199</v>
      </c>
      <c r="C23" s="11" t="s">
        <v>200</v>
      </c>
      <c r="D23" s="11" t="s">
        <v>592</v>
      </c>
      <c r="E23" s="11" t="s">
        <v>565</v>
      </c>
      <c r="F23" s="11"/>
      <c r="G23" s="11"/>
    </row>
    <row r="24" customFormat="false" ht="15" hidden="false" customHeight="false" outlineLevel="0" collapsed="false">
      <c r="A24" s="11" t="s">
        <v>596</v>
      </c>
      <c r="B24" s="11" t="s">
        <v>199</v>
      </c>
      <c r="C24" s="11" t="s">
        <v>200</v>
      </c>
      <c r="D24" s="11" t="s">
        <v>592</v>
      </c>
      <c r="E24" s="11" t="s">
        <v>565</v>
      </c>
      <c r="F24" s="11"/>
      <c r="G24" s="11"/>
    </row>
    <row r="25" customFormat="false" ht="15" hidden="false" customHeight="false" outlineLevel="0" collapsed="false">
      <c r="A25" s="11" t="s">
        <v>597</v>
      </c>
      <c r="B25" s="11" t="s">
        <v>494</v>
      </c>
      <c r="C25" s="11" t="s">
        <v>598</v>
      </c>
      <c r="D25" s="11" t="s">
        <v>592</v>
      </c>
      <c r="E25" s="11" t="s">
        <v>599</v>
      </c>
      <c r="F25" s="11"/>
      <c r="G25" s="11"/>
    </row>
    <row r="26" customFormat="false" ht="15" hidden="false" customHeight="false" outlineLevel="0" collapsed="false">
      <c r="A26" s="11" t="s">
        <v>600</v>
      </c>
      <c r="B26" s="11" t="s">
        <v>494</v>
      </c>
      <c r="C26" s="11" t="s">
        <v>598</v>
      </c>
      <c r="D26" s="11" t="s">
        <v>592</v>
      </c>
      <c r="E26" s="11" t="s">
        <v>599</v>
      </c>
      <c r="F26" s="11"/>
      <c r="G26" s="11"/>
    </row>
    <row r="27" customFormat="false" ht="15" hidden="false" customHeight="false" outlineLevel="0" collapsed="false">
      <c r="A27" s="11" t="s">
        <v>601</v>
      </c>
      <c r="B27" s="11" t="s">
        <v>494</v>
      </c>
      <c r="C27" s="11" t="s">
        <v>598</v>
      </c>
      <c r="D27" s="11" t="s">
        <v>592</v>
      </c>
      <c r="E27" s="11" t="s">
        <v>599</v>
      </c>
      <c r="F27" s="11"/>
      <c r="G27" s="11"/>
    </row>
    <row r="28" customFormat="false" ht="15" hidden="false" customHeight="false" outlineLevel="0" collapsed="false">
      <c r="A28" s="11" t="s">
        <v>602</v>
      </c>
      <c r="B28" s="11" t="s">
        <v>494</v>
      </c>
      <c r="C28" s="11" t="s">
        <v>598</v>
      </c>
      <c r="D28" s="11" t="s">
        <v>592</v>
      </c>
      <c r="E28" s="11" t="s">
        <v>599</v>
      </c>
      <c r="F28" s="11"/>
      <c r="G28" s="11"/>
    </row>
    <row r="29" customFormat="false" ht="15" hidden="false" customHeight="false" outlineLevel="0" collapsed="false">
      <c r="A29" s="11" t="s">
        <v>603</v>
      </c>
      <c r="B29" s="11" t="s">
        <v>494</v>
      </c>
      <c r="C29" s="11" t="s">
        <v>598</v>
      </c>
      <c r="D29" s="11" t="s">
        <v>592</v>
      </c>
      <c r="E29" s="11" t="s">
        <v>604</v>
      </c>
      <c r="F29" s="11"/>
      <c r="G29" s="11"/>
    </row>
    <row r="30" customFormat="false" ht="15" hidden="false" customHeight="false" outlineLevel="0" collapsed="false">
      <c r="A30" s="11" t="s">
        <v>517</v>
      </c>
      <c r="B30" s="11" t="s">
        <v>494</v>
      </c>
      <c r="C30" s="11" t="s">
        <v>605</v>
      </c>
      <c r="D30" s="11" t="s">
        <v>592</v>
      </c>
      <c r="E30" s="11" t="s">
        <v>606</v>
      </c>
      <c r="F30" s="11"/>
      <c r="G30" s="11"/>
    </row>
    <row r="31" customFormat="false" ht="15" hidden="false" customHeight="false" outlineLevel="0" collapsed="false">
      <c r="A31" s="11" t="s">
        <v>509</v>
      </c>
      <c r="B31" s="11" t="s">
        <v>494</v>
      </c>
      <c r="C31" s="11" t="s">
        <v>605</v>
      </c>
      <c r="D31" s="11" t="s">
        <v>592</v>
      </c>
      <c r="E31" s="11" t="s">
        <v>606</v>
      </c>
      <c r="F31" s="11"/>
      <c r="G31" s="11"/>
    </row>
    <row r="32" customFormat="false" ht="15" hidden="false" customHeight="false" outlineLevel="0" collapsed="false">
      <c r="A32" s="11" t="s">
        <v>513</v>
      </c>
      <c r="B32" s="11" t="s">
        <v>494</v>
      </c>
      <c r="C32" s="11" t="s">
        <v>605</v>
      </c>
      <c r="D32" s="11" t="s">
        <v>592</v>
      </c>
      <c r="E32" s="11" t="s">
        <v>606</v>
      </c>
      <c r="F32" s="11"/>
      <c r="G32" s="11"/>
    </row>
    <row r="33" customFormat="false" ht="15" hidden="false" customHeight="false" outlineLevel="0" collapsed="false">
      <c r="A33" s="11" t="s">
        <v>335</v>
      </c>
      <c r="B33" s="11" t="s">
        <v>336</v>
      </c>
      <c r="C33" s="11" t="s">
        <v>607</v>
      </c>
      <c r="D33" s="11" t="s">
        <v>337</v>
      </c>
      <c r="E33" s="11" t="s">
        <v>608</v>
      </c>
      <c r="F33" s="11"/>
      <c r="G33" s="11"/>
    </row>
    <row r="34" customFormat="false" ht="15" hidden="false" customHeight="false" outlineLevel="0" collapsed="false">
      <c r="A34" s="11" t="s">
        <v>351</v>
      </c>
      <c r="B34" s="11" t="s">
        <v>336</v>
      </c>
      <c r="C34" s="11" t="s">
        <v>607</v>
      </c>
      <c r="D34" s="11" t="s">
        <v>337</v>
      </c>
      <c r="E34" s="11" t="s">
        <v>608</v>
      </c>
      <c r="F34" s="11"/>
      <c r="G34" s="11"/>
    </row>
    <row r="35" customFormat="false" ht="15" hidden="false" customHeight="false" outlineLevel="0" collapsed="false">
      <c r="A35" s="11" t="s">
        <v>348</v>
      </c>
      <c r="B35" s="11" t="s">
        <v>336</v>
      </c>
      <c r="C35" s="11" t="s">
        <v>607</v>
      </c>
      <c r="D35" s="11" t="s">
        <v>337</v>
      </c>
      <c r="E35" s="11" t="s">
        <v>608</v>
      </c>
      <c r="F35" s="11"/>
      <c r="G35" s="11"/>
    </row>
    <row r="36" customFormat="false" ht="15" hidden="false" customHeight="false" outlineLevel="0" collapsed="false">
      <c r="A36" s="11" t="s">
        <v>354</v>
      </c>
      <c r="B36" s="11" t="s">
        <v>336</v>
      </c>
      <c r="C36" s="11" t="s">
        <v>607</v>
      </c>
      <c r="D36" s="11" t="s">
        <v>337</v>
      </c>
      <c r="E36" s="11" t="s">
        <v>608</v>
      </c>
      <c r="F36" s="11"/>
      <c r="G36" s="11"/>
    </row>
    <row r="37" customFormat="false" ht="15" hidden="false" customHeight="false" outlineLevel="0" collapsed="false">
      <c r="A37" s="11" t="s">
        <v>357</v>
      </c>
      <c r="B37" s="11" t="s">
        <v>336</v>
      </c>
      <c r="C37" s="11" t="s">
        <v>607</v>
      </c>
      <c r="D37" s="11" t="s">
        <v>337</v>
      </c>
      <c r="E37" s="11" t="s">
        <v>608</v>
      </c>
      <c r="F37" s="11"/>
      <c r="G37" s="11"/>
    </row>
    <row r="38" customFormat="false" ht="15" hidden="false" customHeight="false" outlineLevel="0" collapsed="false">
      <c r="A38" s="11" t="s">
        <v>345</v>
      </c>
      <c r="B38" s="11" t="s">
        <v>336</v>
      </c>
      <c r="C38" s="11" t="s">
        <v>607</v>
      </c>
      <c r="D38" s="11" t="s">
        <v>337</v>
      </c>
      <c r="E38" s="11" t="s">
        <v>608</v>
      </c>
      <c r="F38" s="11"/>
      <c r="G38" s="11"/>
    </row>
    <row r="39" customFormat="false" ht="15" hidden="false" customHeight="false" outlineLevel="0" collapsed="false">
      <c r="A39" s="11" t="s">
        <v>342</v>
      </c>
      <c r="B39" s="11" t="s">
        <v>336</v>
      </c>
      <c r="C39" s="11" t="s">
        <v>607</v>
      </c>
      <c r="D39" s="11" t="s">
        <v>337</v>
      </c>
      <c r="E39" s="11" t="s">
        <v>608</v>
      </c>
      <c r="F39" s="11"/>
      <c r="G39" s="11"/>
    </row>
    <row r="40" customFormat="false" ht="15" hidden="false" customHeight="false" outlineLevel="0" collapsed="false">
      <c r="A40" s="11" t="s">
        <v>609</v>
      </c>
      <c r="B40" s="11" t="s">
        <v>336</v>
      </c>
      <c r="C40" s="11" t="s">
        <v>607</v>
      </c>
      <c r="D40" s="11" t="s">
        <v>337</v>
      </c>
      <c r="E40" s="11" t="s">
        <v>608</v>
      </c>
      <c r="F40" s="11"/>
      <c r="G40" s="11"/>
    </row>
    <row r="41" customFormat="false" ht="15" hidden="false" customHeight="false" outlineLevel="0" collapsed="false">
      <c r="A41" s="11" t="s">
        <v>610</v>
      </c>
      <c r="B41" s="11" t="s">
        <v>336</v>
      </c>
      <c r="C41" s="11" t="s">
        <v>611</v>
      </c>
      <c r="D41" s="11" t="s">
        <v>337</v>
      </c>
      <c r="E41" s="11" t="s">
        <v>608</v>
      </c>
      <c r="F41" s="11"/>
      <c r="G41" s="11"/>
    </row>
    <row r="42" customFormat="false" ht="15" hidden="false" customHeight="false" outlineLevel="0" collapsed="false">
      <c r="A42" s="11" t="s">
        <v>612</v>
      </c>
      <c r="B42" s="11" t="s">
        <v>336</v>
      </c>
      <c r="C42" s="11" t="s">
        <v>611</v>
      </c>
      <c r="D42" s="11" t="s">
        <v>337</v>
      </c>
      <c r="E42" s="11" t="s">
        <v>608</v>
      </c>
      <c r="F42" s="11"/>
      <c r="G42" s="11"/>
    </row>
    <row r="43" customFormat="false" ht="15" hidden="false" customHeight="false" outlineLevel="0" collapsed="false">
      <c r="A43" s="11" t="s">
        <v>613</v>
      </c>
      <c r="B43" s="11" t="s">
        <v>336</v>
      </c>
      <c r="C43" s="11" t="s">
        <v>611</v>
      </c>
      <c r="D43" s="11" t="s">
        <v>337</v>
      </c>
      <c r="E43" s="11" t="s">
        <v>608</v>
      </c>
      <c r="F43" s="11"/>
      <c r="G43" s="11"/>
    </row>
    <row r="44" customFormat="false" ht="15" hidden="false" customHeight="false" outlineLevel="0" collapsed="false">
      <c r="A44" s="11" t="s">
        <v>614</v>
      </c>
      <c r="B44" s="11" t="s">
        <v>336</v>
      </c>
      <c r="C44" s="11" t="s">
        <v>611</v>
      </c>
      <c r="D44" s="11" t="s">
        <v>337</v>
      </c>
      <c r="E44" s="11" t="s">
        <v>608</v>
      </c>
      <c r="F44" s="11"/>
      <c r="G44" s="11"/>
    </row>
    <row r="45" customFormat="false" ht="15" hidden="false" customHeight="false" outlineLevel="0" collapsed="false">
      <c r="A45" s="11" t="s">
        <v>615</v>
      </c>
      <c r="B45" s="11" t="s">
        <v>336</v>
      </c>
      <c r="C45" s="11" t="s">
        <v>611</v>
      </c>
      <c r="D45" s="11" t="s">
        <v>337</v>
      </c>
      <c r="E45" s="11" t="s">
        <v>608</v>
      </c>
      <c r="F45" s="11"/>
      <c r="G45" s="11"/>
    </row>
    <row r="46" customFormat="false" ht="15" hidden="false" customHeight="false" outlineLevel="0" collapsed="false">
      <c r="A46" s="11" t="s">
        <v>616</v>
      </c>
      <c r="B46" s="11" t="s">
        <v>336</v>
      </c>
      <c r="C46" s="11" t="s">
        <v>611</v>
      </c>
      <c r="D46" s="11" t="s">
        <v>337</v>
      </c>
      <c r="E46" s="11" t="s">
        <v>608</v>
      </c>
      <c r="F46" s="11"/>
      <c r="G46" s="11"/>
    </row>
    <row r="47" customFormat="false" ht="15" hidden="false" customHeight="false" outlineLevel="0" collapsed="false">
      <c r="A47" s="11" t="s">
        <v>617</v>
      </c>
      <c r="B47" s="11" t="s">
        <v>336</v>
      </c>
      <c r="C47" s="11" t="s">
        <v>611</v>
      </c>
      <c r="D47" s="11" t="s">
        <v>337</v>
      </c>
      <c r="E47" s="11" t="s">
        <v>608</v>
      </c>
      <c r="F47" s="11"/>
      <c r="G47" s="11"/>
    </row>
    <row r="48" customFormat="false" ht="15" hidden="false" customHeight="false" outlineLevel="0" collapsed="false">
      <c r="A48" s="11" t="s">
        <v>618</v>
      </c>
      <c r="B48" s="11" t="s">
        <v>336</v>
      </c>
      <c r="C48" s="11" t="s">
        <v>611</v>
      </c>
      <c r="D48" s="11" t="s">
        <v>337</v>
      </c>
      <c r="E48" s="11" t="s">
        <v>608</v>
      </c>
      <c r="F48" s="11"/>
      <c r="G48" s="11"/>
    </row>
    <row r="49" customFormat="false" ht="15" hidden="false" customHeight="false" outlineLevel="0" collapsed="false">
      <c r="A49" s="11" t="s">
        <v>619</v>
      </c>
      <c r="B49" s="11" t="s">
        <v>424</v>
      </c>
      <c r="C49" s="11" t="s">
        <v>620</v>
      </c>
      <c r="D49" s="11" t="s">
        <v>621</v>
      </c>
      <c r="E49" s="11" t="s">
        <v>593</v>
      </c>
      <c r="F49" s="11"/>
      <c r="G49" s="11" t="s">
        <v>622</v>
      </c>
    </row>
    <row r="50" customFormat="false" ht="15" hidden="false" customHeight="false" outlineLevel="0" collapsed="false">
      <c r="A50" s="11" t="s">
        <v>623</v>
      </c>
      <c r="B50" s="11" t="s">
        <v>424</v>
      </c>
      <c r="C50" s="11" t="s">
        <v>620</v>
      </c>
      <c r="D50" s="11" t="s">
        <v>621</v>
      </c>
      <c r="E50" s="11" t="s">
        <v>593</v>
      </c>
      <c r="F50" s="11"/>
      <c r="G50" s="11" t="s">
        <v>624</v>
      </c>
    </row>
    <row r="51" customFormat="false" ht="15" hidden="false" customHeight="false" outlineLevel="0" collapsed="false">
      <c r="A51" s="11" t="s">
        <v>625</v>
      </c>
      <c r="B51" s="11" t="s">
        <v>424</v>
      </c>
      <c r="C51" s="11" t="s">
        <v>620</v>
      </c>
      <c r="D51" s="11" t="s">
        <v>621</v>
      </c>
      <c r="E51" s="11" t="s">
        <v>626</v>
      </c>
      <c r="F51" s="11"/>
      <c r="G51" s="11" t="s">
        <v>627</v>
      </c>
    </row>
    <row r="52" customFormat="false" ht="15" hidden="false" customHeight="false" outlineLevel="0" collapsed="false">
      <c r="A52" s="11" t="s">
        <v>628</v>
      </c>
      <c r="B52" s="11" t="s">
        <v>424</v>
      </c>
      <c r="C52" s="11" t="s">
        <v>620</v>
      </c>
      <c r="D52" s="11" t="s">
        <v>621</v>
      </c>
      <c r="E52" s="11" t="s">
        <v>626</v>
      </c>
      <c r="F52" s="11"/>
      <c r="G52" s="11" t="s">
        <v>629</v>
      </c>
    </row>
    <row r="53" customFormat="false" ht="15" hidden="false" customHeight="false" outlineLevel="0" collapsed="false">
      <c r="A53" s="11" t="s">
        <v>130</v>
      </c>
      <c r="B53" s="11" t="s">
        <v>131</v>
      </c>
      <c r="C53" s="11" t="s">
        <v>132</v>
      </c>
      <c r="D53" s="11"/>
      <c r="E53" s="11" t="s">
        <v>630</v>
      </c>
      <c r="F53" s="11"/>
      <c r="G53" s="11"/>
    </row>
    <row r="54" customFormat="false" ht="15" hidden="false" customHeight="false" outlineLevel="0" collapsed="false">
      <c r="A54" s="11" t="s">
        <v>255</v>
      </c>
      <c r="B54" s="11" t="s">
        <v>131</v>
      </c>
      <c r="C54" s="11" t="s">
        <v>132</v>
      </c>
      <c r="D54" s="11"/>
      <c r="E54" s="11" t="s">
        <v>630</v>
      </c>
      <c r="F54" s="11"/>
      <c r="G54" s="11"/>
    </row>
    <row r="55" customFormat="false" ht="15" hidden="false" customHeight="false" outlineLevel="0" collapsed="false">
      <c r="A55" s="11" t="s">
        <v>319</v>
      </c>
      <c r="B55" s="11" t="s">
        <v>131</v>
      </c>
      <c r="C55" s="11" t="s">
        <v>132</v>
      </c>
      <c r="D55" s="11"/>
      <c r="E55" s="11" t="s">
        <v>630</v>
      </c>
      <c r="F55" s="11"/>
      <c r="G55" s="11"/>
    </row>
    <row r="56" customFormat="false" ht="15" hidden="false" customHeight="false" outlineLevel="0" collapsed="false">
      <c r="A56" s="11" t="s">
        <v>261</v>
      </c>
      <c r="B56" s="11" t="s">
        <v>131</v>
      </c>
      <c r="C56" s="11" t="s">
        <v>132</v>
      </c>
      <c r="D56" s="11"/>
      <c r="E56" s="11" t="s">
        <v>630</v>
      </c>
      <c r="F56" s="11"/>
      <c r="G56" s="11"/>
    </row>
    <row r="57" customFormat="false" ht="15" hidden="false" customHeight="false" outlineLevel="0" collapsed="false">
      <c r="A57" s="11" t="s">
        <v>417</v>
      </c>
      <c r="B57" s="11" t="s">
        <v>131</v>
      </c>
      <c r="C57" s="11" t="s">
        <v>132</v>
      </c>
      <c r="D57" s="11"/>
      <c r="E57" s="11" t="s">
        <v>630</v>
      </c>
      <c r="F57" s="11"/>
      <c r="G57" s="11"/>
    </row>
    <row r="58" customFormat="false" ht="15" hidden="false" customHeight="false" outlineLevel="0" collapsed="false">
      <c r="A58" s="11" t="s">
        <v>258</v>
      </c>
      <c r="B58" s="11" t="s">
        <v>131</v>
      </c>
      <c r="C58" s="11" t="s">
        <v>132</v>
      </c>
      <c r="D58" s="11"/>
      <c r="E58" s="11" t="s">
        <v>630</v>
      </c>
      <c r="F58" s="11"/>
      <c r="G58" s="11"/>
    </row>
    <row r="59" customFormat="false" ht="15" hidden="false" customHeight="false" outlineLevel="0" collapsed="false">
      <c r="A59" s="11" t="s">
        <v>279</v>
      </c>
      <c r="B59" s="11" t="s">
        <v>131</v>
      </c>
      <c r="C59" s="11" t="s">
        <v>132</v>
      </c>
      <c r="D59" s="11"/>
      <c r="E59" s="11" t="s">
        <v>630</v>
      </c>
      <c r="F59" s="11"/>
      <c r="G59" s="11"/>
    </row>
    <row r="60" customFormat="false" ht="15" hidden="false" customHeight="false" outlineLevel="0" collapsed="false">
      <c r="A60" s="11" t="s">
        <v>332</v>
      </c>
      <c r="B60" s="11" t="s">
        <v>131</v>
      </c>
      <c r="C60" s="11" t="s">
        <v>132</v>
      </c>
      <c r="D60" s="11"/>
      <c r="E60" s="11" t="s">
        <v>630</v>
      </c>
      <c r="F60" s="11"/>
      <c r="G60" s="11"/>
    </row>
    <row r="61" customFormat="false" ht="15" hidden="false" customHeight="false" outlineLevel="0" collapsed="false">
      <c r="A61" s="11" t="s">
        <v>631</v>
      </c>
      <c r="B61" s="11" t="s">
        <v>131</v>
      </c>
      <c r="C61" s="11" t="s">
        <v>132</v>
      </c>
      <c r="D61" s="11"/>
      <c r="E61" s="11" t="s">
        <v>630</v>
      </c>
      <c r="F61" s="11"/>
      <c r="G61" s="11"/>
    </row>
    <row r="62" customFormat="false" ht="15" hidden="false" customHeight="false" outlineLevel="0" collapsed="false">
      <c r="A62" s="11" t="s">
        <v>632</v>
      </c>
      <c r="B62" s="11" t="s">
        <v>131</v>
      </c>
      <c r="C62" s="11" t="s">
        <v>132</v>
      </c>
      <c r="D62" s="11"/>
      <c r="E62" s="11" t="s">
        <v>630</v>
      </c>
      <c r="F62" s="11"/>
      <c r="G62" s="11"/>
    </row>
    <row r="63" customFormat="false" ht="15" hidden="false" customHeight="false" outlineLevel="0" collapsed="false">
      <c r="A63" s="11" t="s">
        <v>411</v>
      </c>
      <c r="B63" s="11" t="s">
        <v>131</v>
      </c>
      <c r="C63" s="11" t="s">
        <v>132</v>
      </c>
      <c r="D63" s="11"/>
      <c r="E63" s="11" t="s">
        <v>630</v>
      </c>
      <c r="F63" s="11"/>
      <c r="G63" s="11"/>
    </row>
    <row r="64" customFormat="false" ht="15" hidden="false" customHeight="false" outlineLevel="0" collapsed="false">
      <c r="A64" s="11" t="s">
        <v>481</v>
      </c>
      <c r="B64" s="11" t="s">
        <v>131</v>
      </c>
      <c r="C64" s="11" t="s">
        <v>132</v>
      </c>
      <c r="D64" s="11"/>
      <c r="E64" s="11" t="s">
        <v>630</v>
      </c>
      <c r="F64" s="11"/>
      <c r="G64" s="11"/>
    </row>
    <row r="65" customFormat="false" ht="15" hidden="false" customHeight="false" outlineLevel="0" collapsed="false">
      <c r="A65" s="11" t="s">
        <v>484</v>
      </c>
      <c r="B65" s="11" t="s">
        <v>131</v>
      </c>
      <c r="C65" s="11" t="s">
        <v>132</v>
      </c>
      <c r="D65" s="11"/>
      <c r="E65" s="11" t="s">
        <v>630</v>
      </c>
      <c r="F65" s="11"/>
      <c r="G65" s="11"/>
    </row>
    <row r="66" customFormat="false" ht="15" hidden="false" customHeight="false" outlineLevel="0" collapsed="false">
      <c r="A66" s="11" t="s">
        <v>633</v>
      </c>
      <c r="B66" s="11" t="s">
        <v>131</v>
      </c>
      <c r="C66" s="11" t="s">
        <v>132</v>
      </c>
      <c r="D66" s="11"/>
      <c r="E66" s="11" t="s">
        <v>630</v>
      </c>
      <c r="F66" s="11"/>
      <c r="G66" s="11"/>
    </row>
    <row r="67" customFormat="false" ht="15" hidden="false" customHeight="false" outlineLevel="0" collapsed="false">
      <c r="A67" s="11" t="s">
        <v>634</v>
      </c>
      <c r="B67" s="11" t="s">
        <v>131</v>
      </c>
      <c r="C67" s="11" t="s">
        <v>132</v>
      </c>
      <c r="D67" s="11"/>
      <c r="E67" s="11" t="s">
        <v>630</v>
      </c>
      <c r="F67" s="11"/>
      <c r="G67" s="11"/>
    </row>
    <row r="68" customFormat="false" ht="15" hidden="false" customHeight="false" outlineLevel="0" collapsed="false">
      <c r="A68" s="11" t="s">
        <v>635</v>
      </c>
      <c r="B68" s="11" t="s">
        <v>131</v>
      </c>
      <c r="C68" s="11" t="s">
        <v>132</v>
      </c>
      <c r="D68" s="11"/>
      <c r="E68" s="11" t="s">
        <v>630</v>
      </c>
      <c r="F68" s="11"/>
      <c r="G68" s="11"/>
    </row>
    <row r="69" customFormat="false" ht="15" hidden="false" customHeight="false" outlineLevel="0" collapsed="false">
      <c r="A69" s="11" t="s">
        <v>636</v>
      </c>
      <c r="B69" s="11" t="s">
        <v>131</v>
      </c>
      <c r="C69" s="11" t="s">
        <v>132</v>
      </c>
      <c r="D69" s="11"/>
      <c r="E69" s="11" t="s">
        <v>630</v>
      </c>
      <c r="F69" s="11"/>
      <c r="G69" s="11"/>
    </row>
    <row r="70" customFormat="false" ht="15" hidden="false" customHeight="false" outlineLevel="0" collapsed="false">
      <c r="A70" s="11" t="s">
        <v>265</v>
      </c>
      <c r="B70" s="11" t="s">
        <v>131</v>
      </c>
      <c r="C70" s="11" t="s">
        <v>132</v>
      </c>
      <c r="D70" s="11"/>
      <c r="E70" s="11" t="s">
        <v>630</v>
      </c>
      <c r="F70" s="11"/>
      <c r="G70" s="11"/>
    </row>
    <row r="71" customFormat="false" ht="15" hidden="false" customHeight="false" outlineLevel="0" collapsed="false">
      <c r="A71" s="11" t="s">
        <v>420</v>
      </c>
      <c r="B71" s="11" t="s">
        <v>131</v>
      </c>
      <c r="C71" s="11" t="s">
        <v>132</v>
      </c>
      <c r="D71" s="11"/>
      <c r="E71" s="11" t="s">
        <v>630</v>
      </c>
      <c r="F71" s="11"/>
      <c r="G71" s="11"/>
    </row>
    <row r="72" customFormat="false" ht="15" hidden="false" customHeight="false" outlineLevel="0" collapsed="false">
      <c r="A72" s="11" t="s">
        <v>637</v>
      </c>
      <c r="B72" s="11" t="s">
        <v>131</v>
      </c>
      <c r="C72" s="11" t="s">
        <v>132</v>
      </c>
      <c r="D72" s="11"/>
      <c r="E72" s="11" t="s">
        <v>630</v>
      </c>
      <c r="F72" s="11"/>
      <c r="G72" s="11"/>
    </row>
    <row r="73" customFormat="false" ht="15" hidden="false" customHeight="false" outlineLevel="0" collapsed="false">
      <c r="A73" s="11" t="s">
        <v>638</v>
      </c>
      <c r="B73" s="11" t="s">
        <v>106</v>
      </c>
      <c r="C73" s="11" t="s">
        <v>639</v>
      </c>
      <c r="D73" s="11" t="s">
        <v>640</v>
      </c>
      <c r="E73" s="11" t="s">
        <v>630</v>
      </c>
      <c r="F73" s="11"/>
      <c r="G73" s="11" t="s">
        <v>641</v>
      </c>
    </row>
    <row r="74" customFormat="false" ht="15" hidden="false" customHeight="false" outlineLevel="0" collapsed="false">
      <c r="A74" s="11" t="s">
        <v>642</v>
      </c>
      <c r="B74" s="11" t="s">
        <v>106</v>
      </c>
      <c r="C74" s="11" t="s">
        <v>639</v>
      </c>
      <c r="D74" s="11" t="s">
        <v>640</v>
      </c>
      <c r="E74" s="11" t="s">
        <v>630</v>
      </c>
      <c r="F74" s="11"/>
      <c r="G74" s="11" t="s">
        <v>643</v>
      </c>
    </row>
    <row r="75" customFormat="false" ht="15" hidden="false" customHeight="false" outlineLevel="0" collapsed="false">
      <c r="A75" s="11" t="s">
        <v>644</v>
      </c>
      <c r="B75" s="11" t="s">
        <v>106</v>
      </c>
      <c r="C75" s="11" t="s">
        <v>639</v>
      </c>
      <c r="D75" s="11" t="s">
        <v>640</v>
      </c>
      <c r="E75" s="11" t="s">
        <v>630</v>
      </c>
      <c r="F75" s="11"/>
      <c r="G75" s="11" t="s">
        <v>645</v>
      </c>
    </row>
    <row r="76" customFormat="false" ht="15" hidden="false" customHeight="false" outlineLevel="0" collapsed="false">
      <c r="A76" s="11" t="s">
        <v>646</v>
      </c>
      <c r="B76" s="11" t="s">
        <v>106</v>
      </c>
      <c r="C76" s="11" t="s">
        <v>639</v>
      </c>
      <c r="D76" s="11" t="s">
        <v>640</v>
      </c>
      <c r="E76" s="11" t="s">
        <v>630</v>
      </c>
      <c r="F76" s="11"/>
      <c r="G76" s="11" t="s">
        <v>647</v>
      </c>
    </row>
    <row r="77" customFormat="false" ht="15" hidden="false" customHeight="false" outlineLevel="0" collapsed="false">
      <c r="A77" s="11" t="s">
        <v>648</v>
      </c>
      <c r="B77" s="11" t="s">
        <v>106</v>
      </c>
      <c r="C77" s="11" t="s">
        <v>639</v>
      </c>
      <c r="D77" s="11" t="s">
        <v>640</v>
      </c>
      <c r="E77" s="11" t="s">
        <v>630</v>
      </c>
      <c r="F77" s="11"/>
      <c r="G77" s="11" t="s">
        <v>649</v>
      </c>
    </row>
    <row r="78" customFormat="false" ht="15" hidden="false" customHeight="false" outlineLevel="0" collapsed="false">
      <c r="A78" s="11" t="s">
        <v>650</v>
      </c>
      <c r="B78" s="11" t="s">
        <v>106</v>
      </c>
      <c r="C78" s="11" t="s">
        <v>639</v>
      </c>
      <c r="D78" s="11" t="s">
        <v>640</v>
      </c>
      <c r="E78" s="11" t="s">
        <v>630</v>
      </c>
      <c r="F78" s="11"/>
      <c r="G78" s="11" t="s">
        <v>651</v>
      </c>
    </row>
    <row r="79" customFormat="false" ht="15" hidden="false" customHeight="false" outlineLevel="0" collapsed="false">
      <c r="A79" s="11" t="s">
        <v>652</v>
      </c>
      <c r="B79" s="11" t="s">
        <v>106</v>
      </c>
      <c r="C79" s="11" t="s">
        <v>639</v>
      </c>
      <c r="D79" s="11" t="s">
        <v>640</v>
      </c>
      <c r="E79" s="11" t="s">
        <v>630</v>
      </c>
      <c r="F79" s="11"/>
      <c r="G79" s="11" t="s">
        <v>653</v>
      </c>
    </row>
    <row r="80" customFormat="false" ht="15" hidden="false" customHeight="false" outlineLevel="0" collapsed="false">
      <c r="A80" s="11" t="s">
        <v>654</v>
      </c>
      <c r="B80" s="11" t="s">
        <v>106</v>
      </c>
      <c r="C80" s="11" t="s">
        <v>639</v>
      </c>
      <c r="D80" s="11" t="s">
        <v>640</v>
      </c>
      <c r="E80" s="11" t="s">
        <v>630</v>
      </c>
      <c r="F80" s="11"/>
      <c r="G80" s="11" t="s">
        <v>655</v>
      </c>
    </row>
    <row r="81" customFormat="false" ht="15" hidden="false" customHeight="false" outlineLevel="0" collapsed="false">
      <c r="A81" s="11" t="s">
        <v>656</v>
      </c>
      <c r="B81" s="11" t="s">
        <v>106</v>
      </c>
      <c r="C81" s="11" t="s">
        <v>639</v>
      </c>
      <c r="D81" s="11" t="s">
        <v>640</v>
      </c>
      <c r="E81" s="11" t="s">
        <v>630</v>
      </c>
      <c r="F81" s="11"/>
      <c r="G81" s="11" t="s">
        <v>657</v>
      </c>
    </row>
    <row r="82" customFormat="false" ht="15" hidden="false" customHeight="false" outlineLevel="0" collapsed="false">
      <c r="A82" s="11" t="s">
        <v>658</v>
      </c>
      <c r="B82" s="11" t="s">
        <v>106</v>
      </c>
      <c r="C82" s="11" t="s">
        <v>639</v>
      </c>
      <c r="D82" s="11" t="s">
        <v>640</v>
      </c>
      <c r="E82" s="11" t="s">
        <v>630</v>
      </c>
      <c r="F82" s="11"/>
      <c r="G82" s="11" t="s">
        <v>659</v>
      </c>
    </row>
    <row r="83" customFormat="false" ht="15" hidden="false" customHeight="false" outlineLevel="0" collapsed="false">
      <c r="A83" s="11" t="s">
        <v>660</v>
      </c>
      <c r="B83" s="11" t="s">
        <v>106</v>
      </c>
      <c r="C83" s="11" t="s">
        <v>639</v>
      </c>
      <c r="D83" s="11" t="s">
        <v>640</v>
      </c>
      <c r="E83" s="11" t="s">
        <v>630</v>
      </c>
      <c r="F83" s="11"/>
      <c r="G83" s="11" t="s">
        <v>659</v>
      </c>
    </row>
    <row r="84" customFormat="false" ht="15" hidden="false" customHeight="false" outlineLevel="0" collapsed="false">
      <c r="A84" s="11" t="s">
        <v>661</v>
      </c>
      <c r="B84" s="11" t="s">
        <v>106</v>
      </c>
      <c r="C84" s="11" t="s">
        <v>639</v>
      </c>
      <c r="D84" s="11" t="s">
        <v>640</v>
      </c>
      <c r="E84" s="11" t="s">
        <v>630</v>
      </c>
      <c r="F84" s="11"/>
      <c r="G84" s="11" t="s">
        <v>662</v>
      </c>
    </row>
    <row r="85" customFormat="false" ht="15" hidden="false" customHeight="false" outlineLevel="0" collapsed="false">
      <c r="A85" s="11" t="s">
        <v>663</v>
      </c>
      <c r="B85" s="11" t="s">
        <v>106</v>
      </c>
      <c r="C85" s="11" t="s">
        <v>639</v>
      </c>
      <c r="D85" s="11" t="s">
        <v>640</v>
      </c>
      <c r="E85" s="11" t="s">
        <v>630</v>
      </c>
      <c r="F85" s="11"/>
      <c r="G85" s="11" t="s">
        <v>664</v>
      </c>
    </row>
    <row r="86" customFormat="false" ht="15" hidden="false" customHeight="false" outlineLevel="0" collapsed="false">
      <c r="A86" s="11" t="s">
        <v>665</v>
      </c>
      <c r="B86" s="11" t="s">
        <v>106</v>
      </c>
      <c r="C86" s="11" t="s">
        <v>639</v>
      </c>
      <c r="D86" s="11" t="s">
        <v>640</v>
      </c>
      <c r="E86" s="11" t="s">
        <v>630</v>
      </c>
      <c r="F86" s="11"/>
      <c r="G86" s="11" t="s">
        <v>666</v>
      </c>
    </row>
    <row r="87" customFormat="false" ht="15" hidden="false" customHeight="false" outlineLevel="0" collapsed="false">
      <c r="A87" s="11" t="s">
        <v>667</v>
      </c>
      <c r="B87" s="11" t="s">
        <v>106</v>
      </c>
      <c r="C87" s="11" t="s">
        <v>639</v>
      </c>
      <c r="D87" s="11" t="s">
        <v>640</v>
      </c>
      <c r="E87" s="11" t="s">
        <v>630</v>
      </c>
      <c r="F87" s="11"/>
      <c r="G87" s="11" t="s">
        <v>668</v>
      </c>
    </row>
    <row r="88" customFormat="false" ht="15" hidden="false" customHeight="false" outlineLevel="0" collapsed="false">
      <c r="A88" s="11" t="s">
        <v>669</v>
      </c>
      <c r="B88" s="11" t="s">
        <v>106</v>
      </c>
      <c r="C88" s="11" t="s">
        <v>639</v>
      </c>
      <c r="D88" s="11" t="s">
        <v>640</v>
      </c>
      <c r="E88" s="11" t="s">
        <v>630</v>
      </c>
      <c r="F88" s="11"/>
      <c r="G88" s="11" t="s">
        <v>670</v>
      </c>
    </row>
    <row r="89" customFormat="false" ht="15" hidden="false" customHeight="false" outlineLevel="0" collapsed="false">
      <c r="A89" s="11" t="s">
        <v>671</v>
      </c>
      <c r="B89" s="11" t="s">
        <v>106</v>
      </c>
      <c r="C89" s="11" t="s">
        <v>639</v>
      </c>
      <c r="D89" s="11" t="s">
        <v>640</v>
      </c>
      <c r="E89" s="11" t="s">
        <v>630</v>
      </c>
      <c r="F89" s="11"/>
      <c r="G89" s="11" t="s">
        <v>672</v>
      </c>
    </row>
    <row r="90" customFormat="false" ht="15" hidden="false" customHeight="false" outlineLevel="0" collapsed="false">
      <c r="A90" s="11" t="s">
        <v>673</v>
      </c>
      <c r="B90" s="11" t="s">
        <v>106</v>
      </c>
      <c r="C90" s="11" t="s">
        <v>639</v>
      </c>
      <c r="D90" s="11" t="s">
        <v>640</v>
      </c>
      <c r="E90" s="11" t="s">
        <v>630</v>
      </c>
      <c r="F90" s="11"/>
      <c r="G90" s="11" t="s">
        <v>674</v>
      </c>
    </row>
    <row r="91" customFormat="false" ht="15" hidden="false" customHeight="false" outlineLevel="0" collapsed="false">
      <c r="A91" s="11" t="s">
        <v>675</v>
      </c>
      <c r="B91" s="11" t="s">
        <v>106</v>
      </c>
      <c r="C91" s="11" t="s">
        <v>639</v>
      </c>
      <c r="D91" s="11" t="s">
        <v>640</v>
      </c>
      <c r="E91" s="11" t="s">
        <v>630</v>
      </c>
      <c r="F91" s="11"/>
      <c r="G91" s="11" t="s">
        <v>676</v>
      </c>
    </row>
    <row r="92" customFormat="false" ht="15" hidden="false" customHeight="false" outlineLevel="0" collapsed="false">
      <c r="A92" s="11" t="s">
        <v>677</v>
      </c>
      <c r="B92" s="11" t="s">
        <v>106</v>
      </c>
      <c r="C92" s="11" t="s">
        <v>639</v>
      </c>
      <c r="D92" s="11" t="s">
        <v>640</v>
      </c>
      <c r="E92" s="11" t="s">
        <v>630</v>
      </c>
      <c r="F92" s="11"/>
      <c r="G92" s="11" t="s">
        <v>678</v>
      </c>
    </row>
    <row r="93" customFormat="false" ht="15" hidden="false" customHeight="false" outlineLevel="0" collapsed="false">
      <c r="A93" s="11" t="s">
        <v>679</v>
      </c>
      <c r="B93" s="11" t="s">
        <v>106</v>
      </c>
      <c r="C93" s="11" t="s">
        <v>639</v>
      </c>
      <c r="D93" s="11" t="s">
        <v>640</v>
      </c>
      <c r="E93" s="11" t="s">
        <v>630</v>
      </c>
      <c r="F93" s="11"/>
      <c r="G93" s="11" t="s">
        <v>680</v>
      </c>
    </row>
    <row r="94" customFormat="false" ht="15" hidden="false" customHeight="false" outlineLevel="0" collapsed="false">
      <c r="A94" s="11" t="s">
        <v>681</v>
      </c>
      <c r="B94" s="11" t="s">
        <v>106</v>
      </c>
      <c r="C94" s="11" t="s">
        <v>639</v>
      </c>
      <c r="D94" s="11" t="s">
        <v>640</v>
      </c>
      <c r="E94" s="11" t="s">
        <v>630</v>
      </c>
      <c r="F94" s="11"/>
      <c r="G94" s="11" t="s">
        <v>682</v>
      </c>
    </row>
    <row r="95" customFormat="false" ht="15" hidden="false" customHeight="false" outlineLevel="0" collapsed="false">
      <c r="A95" s="11" t="s">
        <v>683</v>
      </c>
      <c r="B95" s="11" t="s">
        <v>106</v>
      </c>
      <c r="C95" s="11" t="s">
        <v>639</v>
      </c>
      <c r="D95" s="11" t="s">
        <v>640</v>
      </c>
      <c r="E95" s="11" t="s">
        <v>630</v>
      </c>
      <c r="F95" s="11"/>
      <c r="G95" s="11" t="s">
        <v>684</v>
      </c>
    </row>
    <row r="96" customFormat="false" ht="15" hidden="false" customHeight="false" outlineLevel="0" collapsed="false">
      <c r="A96" s="11" t="s">
        <v>685</v>
      </c>
      <c r="B96" s="11" t="s">
        <v>106</v>
      </c>
      <c r="C96" s="11" t="s">
        <v>639</v>
      </c>
      <c r="D96" s="11" t="s">
        <v>640</v>
      </c>
      <c r="E96" s="11" t="s">
        <v>630</v>
      </c>
      <c r="F96" s="11"/>
      <c r="G96" s="11" t="s">
        <v>686</v>
      </c>
    </row>
    <row r="97" customFormat="false" ht="15" hidden="false" customHeight="false" outlineLevel="0" collapsed="false">
      <c r="A97" s="11" t="s">
        <v>687</v>
      </c>
      <c r="B97" s="11" t="s">
        <v>106</v>
      </c>
      <c r="C97" s="11" t="s">
        <v>639</v>
      </c>
      <c r="D97" s="11" t="s">
        <v>640</v>
      </c>
      <c r="E97" s="11" t="s">
        <v>630</v>
      </c>
      <c r="F97" s="11"/>
      <c r="G97" s="11" t="s">
        <v>688</v>
      </c>
    </row>
    <row r="98" customFormat="false" ht="15" hidden="false" customHeight="false" outlineLevel="0" collapsed="false">
      <c r="A98" s="11" t="s">
        <v>689</v>
      </c>
      <c r="B98" s="11" t="s">
        <v>106</v>
      </c>
      <c r="C98" s="11" t="s">
        <v>639</v>
      </c>
      <c r="D98" s="11" t="s">
        <v>640</v>
      </c>
      <c r="E98" s="11" t="s">
        <v>630</v>
      </c>
      <c r="F98" s="11"/>
      <c r="G98" s="11" t="s">
        <v>690</v>
      </c>
    </row>
    <row r="99" customFormat="false" ht="15" hidden="false" customHeight="false" outlineLevel="0" collapsed="false">
      <c r="A99" s="11" t="s">
        <v>691</v>
      </c>
      <c r="B99" s="11" t="s">
        <v>106</v>
      </c>
      <c r="C99" s="11" t="s">
        <v>639</v>
      </c>
      <c r="D99" s="11" t="s">
        <v>640</v>
      </c>
      <c r="E99" s="11" t="s">
        <v>630</v>
      </c>
      <c r="F99" s="11"/>
      <c r="G99" s="11" t="s">
        <v>692</v>
      </c>
    </row>
    <row r="100" customFormat="false" ht="15" hidden="false" customHeight="false" outlineLevel="0" collapsed="false">
      <c r="A100" s="11" t="s">
        <v>693</v>
      </c>
      <c r="B100" s="11" t="s">
        <v>106</v>
      </c>
      <c r="C100" s="11" t="s">
        <v>639</v>
      </c>
      <c r="D100" s="11" t="s">
        <v>640</v>
      </c>
      <c r="E100" s="11" t="s">
        <v>630</v>
      </c>
      <c r="F100" s="11"/>
      <c r="G100" s="11" t="s">
        <v>694</v>
      </c>
    </row>
    <row r="101" customFormat="false" ht="15" hidden="false" customHeight="false" outlineLevel="0" collapsed="false">
      <c r="A101" s="11" t="s">
        <v>695</v>
      </c>
      <c r="B101" s="11" t="s">
        <v>106</v>
      </c>
      <c r="C101" s="11" t="s">
        <v>639</v>
      </c>
      <c r="D101" s="11" t="s">
        <v>640</v>
      </c>
      <c r="E101" s="11" t="s">
        <v>630</v>
      </c>
      <c r="F101" s="11"/>
      <c r="G101" s="11" t="s">
        <v>696</v>
      </c>
    </row>
    <row r="102" customFormat="false" ht="15" hidden="false" customHeight="false" outlineLevel="0" collapsed="false">
      <c r="A102" s="11" t="s">
        <v>697</v>
      </c>
      <c r="B102" s="11" t="s">
        <v>106</v>
      </c>
      <c r="C102" s="11" t="s">
        <v>639</v>
      </c>
      <c r="D102" s="11" t="s">
        <v>640</v>
      </c>
      <c r="E102" s="11" t="s">
        <v>630</v>
      </c>
      <c r="F102" s="11"/>
      <c r="G102" s="11" t="s">
        <v>698</v>
      </c>
    </row>
    <row r="103" customFormat="false" ht="15" hidden="false" customHeight="false" outlineLevel="0" collapsed="false">
      <c r="A103" s="11" t="s">
        <v>699</v>
      </c>
      <c r="B103" s="11" t="s">
        <v>106</v>
      </c>
      <c r="C103" s="11" t="s">
        <v>639</v>
      </c>
      <c r="D103" s="11" t="s">
        <v>640</v>
      </c>
      <c r="E103" s="11" t="s">
        <v>630</v>
      </c>
      <c r="F103" s="11"/>
      <c r="G103" s="11" t="s">
        <v>700</v>
      </c>
    </row>
    <row r="104" customFormat="false" ht="15" hidden="false" customHeight="false" outlineLevel="0" collapsed="false">
      <c r="A104" s="11" t="s">
        <v>701</v>
      </c>
      <c r="B104" s="11" t="s">
        <v>106</v>
      </c>
      <c r="C104" s="11" t="s">
        <v>639</v>
      </c>
      <c r="D104" s="11" t="s">
        <v>640</v>
      </c>
      <c r="E104" s="11" t="s">
        <v>630</v>
      </c>
      <c r="F104" s="11"/>
      <c r="G104" s="11" t="s">
        <v>702</v>
      </c>
    </row>
    <row r="105" customFormat="false" ht="15" hidden="false" customHeight="false" outlineLevel="0" collapsed="false">
      <c r="A105" s="11" t="s">
        <v>703</v>
      </c>
      <c r="B105" s="11" t="s">
        <v>106</v>
      </c>
      <c r="C105" s="11" t="s">
        <v>639</v>
      </c>
      <c r="D105" s="11" t="s">
        <v>640</v>
      </c>
      <c r="E105" s="11" t="s">
        <v>630</v>
      </c>
      <c r="F105" s="11"/>
      <c r="G105" s="11" t="s">
        <v>704</v>
      </c>
    </row>
    <row r="106" customFormat="false" ht="15" hidden="false" customHeight="false" outlineLevel="0" collapsed="false">
      <c r="A106" s="11" t="s">
        <v>705</v>
      </c>
      <c r="B106" s="11" t="s">
        <v>106</v>
      </c>
      <c r="C106" s="11" t="s">
        <v>639</v>
      </c>
      <c r="D106" s="11" t="s">
        <v>640</v>
      </c>
      <c r="E106" s="11" t="s">
        <v>630</v>
      </c>
      <c r="F106" s="11"/>
      <c r="G106" s="11" t="s">
        <v>706</v>
      </c>
    </row>
    <row r="107" customFormat="false" ht="15" hidden="false" customHeight="false" outlineLevel="0" collapsed="false">
      <c r="A107" s="11" t="s">
        <v>707</v>
      </c>
      <c r="B107" s="11" t="s">
        <v>106</v>
      </c>
      <c r="C107" s="11" t="s">
        <v>639</v>
      </c>
      <c r="D107" s="11" t="s">
        <v>640</v>
      </c>
      <c r="E107" s="11" t="s">
        <v>630</v>
      </c>
      <c r="F107" s="11"/>
      <c r="G107" s="11" t="s">
        <v>708</v>
      </c>
    </row>
    <row r="108" customFormat="false" ht="15" hidden="false" customHeight="false" outlineLevel="0" collapsed="false">
      <c r="A108" s="11" t="s">
        <v>709</v>
      </c>
      <c r="B108" s="11" t="s">
        <v>106</v>
      </c>
      <c r="C108" s="11" t="s">
        <v>710</v>
      </c>
      <c r="D108" s="11" t="s">
        <v>640</v>
      </c>
      <c r="E108" s="11" t="s">
        <v>630</v>
      </c>
      <c r="F108" s="11"/>
      <c r="G108" s="11" t="s">
        <v>711</v>
      </c>
    </row>
    <row r="109" customFormat="false" ht="15" hidden="false" customHeight="false" outlineLevel="0" collapsed="false">
      <c r="A109" s="11" t="s">
        <v>712</v>
      </c>
      <c r="B109" s="11" t="s">
        <v>106</v>
      </c>
      <c r="C109" s="11" t="s">
        <v>710</v>
      </c>
      <c r="D109" s="11" t="s">
        <v>640</v>
      </c>
      <c r="E109" s="11" t="s">
        <v>630</v>
      </c>
      <c r="F109" s="11"/>
      <c r="G109" s="11" t="s">
        <v>713</v>
      </c>
    </row>
    <row r="110" customFormat="false" ht="15" hidden="false" customHeight="false" outlineLevel="0" collapsed="false">
      <c r="A110" s="11" t="s">
        <v>714</v>
      </c>
      <c r="B110" s="11" t="s">
        <v>106</v>
      </c>
      <c r="C110" s="11" t="s">
        <v>710</v>
      </c>
      <c r="D110" s="11" t="s">
        <v>640</v>
      </c>
      <c r="E110" s="11" t="s">
        <v>630</v>
      </c>
      <c r="F110" s="11"/>
      <c r="G110" s="11" t="s">
        <v>715</v>
      </c>
    </row>
    <row r="111" customFormat="false" ht="15" hidden="false" customHeight="false" outlineLevel="0" collapsed="false">
      <c r="A111" s="11" t="s">
        <v>716</v>
      </c>
      <c r="B111" s="11" t="s">
        <v>106</v>
      </c>
      <c r="C111" s="11" t="s">
        <v>710</v>
      </c>
      <c r="D111" s="11" t="s">
        <v>640</v>
      </c>
      <c r="E111" s="11" t="s">
        <v>630</v>
      </c>
      <c r="F111" s="11"/>
      <c r="G111" s="11" t="s">
        <v>717</v>
      </c>
    </row>
    <row r="112" customFormat="false" ht="15" hidden="false" customHeight="false" outlineLevel="0" collapsed="false">
      <c r="A112" s="11" t="s">
        <v>718</v>
      </c>
      <c r="B112" s="11" t="s">
        <v>106</v>
      </c>
      <c r="C112" s="11" t="s">
        <v>710</v>
      </c>
      <c r="D112" s="11" t="s">
        <v>640</v>
      </c>
      <c r="E112" s="11" t="s">
        <v>630</v>
      </c>
      <c r="F112" s="11"/>
      <c r="G112" s="11" t="s">
        <v>719</v>
      </c>
    </row>
    <row r="113" customFormat="false" ht="15" hidden="false" customHeight="false" outlineLevel="0" collapsed="false">
      <c r="A113" s="11" t="s">
        <v>720</v>
      </c>
      <c r="B113" s="11" t="s">
        <v>106</v>
      </c>
      <c r="C113" s="11" t="s">
        <v>710</v>
      </c>
      <c r="D113" s="11" t="s">
        <v>640</v>
      </c>
      <c r="E113" s="11" t="s">
        <v>630</v>
      </c>
      <c r="F113" s="11"/>
      <c r="G113" s="11" t="s">
        <v>721</v>
      </c>
    </row>
    <row r="114" customFormat="false" ht="15" hidden="false" customHeight="false" outlineLevel="0" collapsed="false">
      <c r="A114" s="11" t="s">
        <v>722</v>
      </c>
      <c r="B114" s="11" t="s">
        <v>106</v>
      </c>
      <c r="C114" s="11" t="s">
        <v>710</v>
      </c>
      <c r="D114" s="11" t="s">
        <v>640</v>
      </c>
      <c r="E114" s="11" t="s">
        <v>630</v>
      </c>
      <c r="F114" s="11"/>
      <c r="G114" s="11" t="s">
        <v>723</v>
      </c>
    </row>
    <row r="115" customFormat="false" ht="15" hidden="false" customHeight="false" outlineLevel="0" collapsed="false">
      <c r="A115" s="11" t="s">
        <v>724</v>
      </c>
      <c r="B115" s="11" t="s">
        <v>106</v>
      </c>
      <c r="C115" s="11" t="s">
        <v>710</v>
      </c>
      <c r="D115" s="11" t="s">
        <v>640</v>
      </c>
      <c r="E115" s="11" t="s">
        <v>630</v>
      </c>
      <c r="F115" s="11"/>
      <c r="G115" s="11" t="s">
        <v>725</v>
      </c>
    </row>
    <row r="116" customFormat="false" ht="15" hidden="false" customHeight="false" outlineLevel="0" collapsed="false">
      <c r="A116" s="11" t="s">
        <v>726</v>
      </c>
      <c r="B116" s="11" t="s">
        <v>106</v>
      </c>
      <c r="C116" s="11" t="s">
        <v>710</v>
      </c>
      <c r="D116" s="11" t="s">
        <v>640</v>
      </c>
      <c r="E116" s="11" t="s">
        <v>630</v>
      </c>
      <c r="F116" s="11"/>
      <c r="G116" s="11" t="s">
        <v>727</v>
      </c>
    </row>
    <row r="117" customFormat="false" ht="15" hidden="false" customHeight="false" outlineLevel="0" collapsed="false">
      <c r="A117" s="11" t="s">
        <v>728</v>
      </c>
      <c r="B117" s="11" t="s">
        <v>106</v>
      </c>
      <c r="C117" s="11" t="s">
        <v>710</v>
      </c>
      <c r="D117" s="11" t="s">
        <v>640</v>
      </c>
      <c r="E117" s="11" t="s">
        <v>630</v>
      </c>
      <c r="F117" s="11"/>
      <c r="G117" s="11" t="s">
        <v>729</v>
      </c>
    </row>
    <row r="118" customFormat="false" ht="15" hidden="false" customHeight="false" outlineLevel="0" collapsed="false">
      <c r="A118" s="11" t="s">
        <v>730</v>
      </c>
      <c r="B118" s="11" t="s">
        <v>106</v>
      </c>
      <c r="C118" s="11" t="s">
        <v>710</v>
      </c>
      <c r="D118" s="11" t="s">
        <v>640</v>
      </c>
      <c r="E118" s="11" t="s">
        <v>630</v>
      </c>
      <c r="F118" s="11"/>
      <c r="G118" s="11" t="s">
        <v>731</v>
      </c>
    </row>
    <row r="119" customFormat="false" ht="15" hidden="false" customHeight="false" outlineLevel="0" collapsed="false">
      <c r="A119" s="11" t="s">
        <v>732</v>
      </c>
      <c r="B119" s="11" t="s">
        <v>106</v>
      </c>
      <c r="C119" s="11" t="s">
        <v>710</v>
      </c>
      <c r="D119" s="11" t="s">
        <v>640</v>
      </c>
      <c r="E119" s="11" t="s">
        <v>630</v>
      </c>
      <c r="F119" s="11"/>
      <c r="G119" s="11" t="s">
        <v>733</v>
      </c>
    </row>
    <row r="120" customFormat="false" ht="15" hidden="false" customHeight="false" outlineLevel="0" collapsed="false">
      <c r="A120" s="11" t="s">
        <v>734</v>
      </c>
      <c r="B120" s="11" t="s">
        <v>106</v>
      </c>
      <c r="C120" s="11" t="s">
        <v>710</v>
      </c>
      <c r="D120" s="11" t="s">
        <v>640</v>
      </c>
      <c r="E120" s="11" t="s">
        <v>630</v>
      </c>
      <c r="F120" s="11"/>
      <c r="G120" s="11" t="s">
        <v>109</v>
      </c>
    </row>
    <row r="121" customFormat="false" ht="15" hidden="false" customHeight="false" outlineLevel="0" collapsed="false">
      <c r="A121" s="11" t="s">
        <v>735</v>
      </c>
      <c r="B121" s="11" t="s">
        <v>106</v>
      </c>
      <c r="C121" s="11" t="s">
        <v>710</v>
      </c>
      <c r="D121" s="11" t="s">
        <v>640</v>
      </c>
      <c r="E121" s="11" t="s">
        <v>630</v>
      </c>
      <c r="F121" s="11"/>
      <c r="G121" s="11" t="s">
        <v>171</v>
      </c>
    </row>
    <row r="122" customFormat="false" ht="15" hidden="false" customHeight="false" outlineLevel="0" collapsed="false">
      <c r="A122" s="11" t="s">
        <v>736</v>
      </c>
      <c r="B122" s="11" t="s">
        <v>106</v>
      </c>
      <c r="C122" s="11" t="s">
        <v>710</v>
      </c>
      <c r="D122" s="11" t="s">
        <v>640</v>
      </c>
      <c r="E122" s="11" t="s">
        <v>630</v>
      </c>
      <c r="F122" s="11"/>
      <c r="G122" s="11" t="s">
        <v>361</v>
      </c>
    </row>
    <row r="123" customFormat="false" ht="15" hidden="false" customHeight="false" outlineLevel="0" collapsed="false">
      <c r="A123" s="11" t="s">
        <v>737</v>
      </c>
      <c r="B123" s="11" t="s">
        <v>106</v>
      </c>
      <c r="C123" s="11" t="s">
        <v>710</v>
      </c>
      <c r="D123" s="11" t="s">
        <v>640</v>
      </c>
      <c r="E123" s="11" t="s">
        <v>630</v>
      </c>
      <c r="F123" s="11"/>
      <c r="G123" s="11" t="s">
        <v>738</v>
      </c>
    </row>
    <row r="124" customFormat="false" ht="15" hidden="false" customHeight="false" outlineLevel="0" collapsed="false">
      <c r="A124" s="11" t="s">
        <v>739</v>
      </c>
      <c r="B124" s="11" t="s">
        <v>106</v>
      </c>
      <c r="C124" s="11" t="s">
        <v>710</v>
      </c>
      <c r="D124" s="11" t="s">
        <v>640</v>
      </c>
      <c r="E124" s="11" t="s">
        <v>630</v>
      </c>
      <c r="F124" s="11"/>
      <c r="G124" s="11" t="s">
        <v>740</v>
      </c>
    </row>
    <row r="125" customFormat="false" ht="15" hidden="false" customHeight="false" outlineLevel="0" collapsed="false">
      <c r="A125" s="11" t="s">
        <v>741</v>
      </c>
      <c r="B125" s="11" t="s">
        <v>106</v>
      </c>
      <c r="C125" s="11" t="s">
        <v>710</v>
      </c>
      <c r="D125" s="11" t="s">
        <v>640</v>
      </c>
      <c r="E125" s="11" t="s">
        <v>630</v>
      </c>
      <c r="F125" s="11"/>
      <c r="G125" s="11" t="s">
        <v>742</v>
      </c>
    </row>
    <row r="126" customFormat="false" ht="15" hidden="false" customHeight="false" outlineLevel="0" collapsed="false">
      <c r="A126" s="11" t="s">
        <v>743</v>
      </c>
      <c r="B126" s="11" t="s">
        <v>106</v>
      </c>
      <c r="C126" s="11" t="s">
        <v>710</v>
      </c>
      <c r="D126" s="11" t="s">
        <v>640</v>
      </c>
      <c r="E126" s="11" t="s">
        <v>630</v>
      </c>
      <c r="F126" s="11"/>
      <c r="G126" s="11" t="s">
        <v>744</v>
      </c>
    </row>
    <row r="127" customFormat="false" ht="15" hidden="false" customHeight="false" outlineLevel="0" collapsed="false">
      <c r="A127" s="11" t="s">
        <v>745</v>
      </c>
      <c r="B127" s="11" t="s">
        <v>106</v>
      </c>
      <c r="C127" s="11" t="s">
        <v>710</v>
      </c>
      <c r="D127" s="11" t="s">
        <v>640</v>
      </c>
      <c r="E127" s="11" t="s">
        <v>630</v>
      </c>
      <c r="F127" s="11"/>
      <c r="G127" s="11" t="s">
        <v>746</v>
      </c>
    </row>
    <row r="128" customFormat="false" ht="15" hidden="false" customHeight="false" outlineLevel="0" collapsed="false">
      <c r="A128" s="11" t="s">
        <v>747</v>
      </c>
      <c r="B128" s="11" t="s">
        <v>106</v>
      </c>
      <c r="C128" s="11" t="s">
        <v>710</v>
      </c>
      <c r="D128" s="11" t="s">
        <v>640</v>
      </c>
      <c r="E128" s="11" t="s">
        <v>630</v>
      </c>
      <c r="F128" s="11"/>
      <c r="G128" s="11" t="s">
        <v>748</v>
      </c>
    </row>
    <row r="129" customFormat="false" ht="15" hidden="false" customHeight="false" outlineLevel="0" collapsed="false">
      <c r="A129" s="11" t="s">
        <v>749</v>
      </c>
      <c r="B129" s="11" t="s">
        <v>106</v>
      </c>
      <c r="C129" s="11" t="s">
        <v>710</v>
      </c>
      <c r="D129" s="11" t="s">
        <v>640</v>
      </c>
      <c r="E129" s="11" t="s">
        <v>630</v>
      </c>
      <c r="F129" s="11"/>
      <c r="G129" s="11" t="s">
        <v>750</v>
      </c>
    </row>
    <row r="130" customFormat="false" ht="15" hidden="false" customHeight="false" outlineLevel="0" collapsed="false">
      <c r="A130" s="11" t="s">
        <v>751</v>
      </c>
      <c r="B130" s="11" t="s">
        <v>106</v>
      </c>
      <c r="C130" s="11" t="s">
        <v>710</v>
      </c>
      <c r="D130" s="11" t="s">
        <v>640</v>
      </c>
      <c r="E130" s="11" t="s">
        <v>630</v>
      </c>
      <c r="F130" s="11"/>
      <c r="G130" s="11" t="s">
        <v>752</v>
      </c>
    </row>
    <row r="131" customFormat="false" ht="15" hidden="false" customHeight="false" outlineLevel="0" collapsed="false">
      <c r="A131" s="11" t="s">
        <v>753</v>
      </c>
      <c r="B131" s="11" t="s">
        <v>106</v>
      </c>
      <c r="C131" s="11" t="s">
        <v>710</v>
      </c>
      <c r="D131" s="11" t="s">
        <v>640</v>
      </c>
      <c r="E131" s="11" t="s">
        <v>630</v>
      </c>
      <c r="F131" s="11"/>
      <c r="G131" s="11" t="s">
        <v>754</v>
      </c>
    </row>
    <row r="132" customFormat="false" ht="15" hidden="false" customHeight="false" outlineLevel="0" collapsed="false">
      <c r="A132" s="11" t="s">
        <v>755</v>
      </c>
      <c r="B132" s="11" t="s">
        <v>106</v>
      </c>
      <c r="C132" s="11" t="s">
        <v>710</v>
      </c>
      <c r="D132" s="11" t="s">
        <v>640</v>
      </c>
      <c r="E132" s="11" t="s">
        <v>630</v>
      </c>
      <c r="F132" s="11"/>
      <c r="G132" s="11" t="s">
        <v>756</v>
      </c>
    </row>
    <row r="133" customFormat="false" ht="15" hidden="false" customHeight="false" outlineLevel="0" collapsed="false">
      <c r="A133" s="11" t="s">
        <v>757</v>
      </c>
      <c r="B133" s="11" t="s">
        <v>106</v>
      </c>
      <c r="C133" s="11" t="s">
        <v>710</v>
      </c>
      <c r="D133" s="11" t="s">
        <v>640</v>
      </c>
      <c r="E133" s="11" t="s">
        <v>630</v>
      </c>
      <c r="F133" s="11"/>
      <c r="G133" s="11" t="s">
        <v>758</v>
      </c>
    </row>
    <row r="134" customFormat="false" ht="15" hidden="false" customHeight="false" outlineLevel="0" collapsed="false">
      <c r="A134" s="11" t="s">
        <v>759</v>
      </c>
      <c r="B134" s="11" t="s">
        <v>106</v>
      </c>
      <c r="C134" s="11" t="s">
        <v>710</v>
      </c>
      <c r="D134" s="11" t="s">
        <v>640</v>
      </c>
      <c r="E134" s="11" t="s">
        <v>630</v>
      </c>
      <c r="F134" s="11"/>
      <c r="G134" s="11" t="s">
        <v>760</v>
      </c>
    </row>
    <row r="135" customFormat="false" ht="15" hidden="false" customHeight="false" outlineLevel="0" collapsed="false">
      <c r="A135" s="11" t="s">
        <v>761</v>
      </c>
      <c r="B135" s="11" t="s">
        <v>106</v>
      </c>
      <c r="C135" s="11" t="s">
        <v>710</v>
      </c>
      <c r="D135" s="11" t="s">
        <v>640</v>
      </c>
      <c r="E135" s="11" t="s">
        <v>630</v>
      </c>
      <c r="F135" s="11"/>
      <c r="G135" s="11" t="s">
        <v>762</v>
      </c>
    </row>
    <row r="136" customFormat="false" ht="15" hidden="false" customHeight="false" outlineLevel="0" collapsed="false">
      <c r="A136" s="11" t="s">
        <v>763</v>
      </c>
      <c r="B136" s="11" t="s">
        <v>106</v>
      </c>
      <c r="C136" s="11" t="s">
        <v>710</v>
      </c>
      <c r="D136" s="11" t="s">
        <v>640</v>
      </c>
      <c r="E136" s="11" t="s">
        <v>630</v>
      </c>
      <c r="F136" s="11"/>
      <c r="G136" s="11" t="s">
        <v>764</v>
      </c>
    </row>
    <row r="137" customFormat="false" ht="15" hidden="false" customHeight="false" outlineLevel="0" collapsed="false">
      <c r="A137" s="11" t="s">
        <v>765</v>
      </c>
      <c r="B137" s="11" t="s">
        <v>106</v>
      </c>
      <c r="C137" s="11" t="s">
        <v>710</v>
      </c>
      <c r="D137" s="11" t="s">
        <v>640</v>
      </c>
      <c r="E137" s="11" t="s">
        <v>630</v>
      </c>
      <c r="F137" s="11"/>
      <c r="G137" s="11" t="s">
        <v>766</v>
      </c>
    </row>
    <row r="138" customFormat="false" ht="15" hidden="false" customHeight="false" outlineLevel="0" collapsed="false">
      <c r="A138" s="11" t="s">
        <v>767</v>
      </c>
      <c r="B138" s="11" t="s">
        <v>106</v>
      </c>
      <c r="C138" s="11" t="s">
        <v>710</v>
      </c>
      <c r="D138" s="11" t="s">
        <v>640</v>
      </c>
      <c r="E138" s="11" t="s">
        <v>630</v>
      </c>
      <c r="F138" s="11"/>
      <c r="G138" s="11" t="s">
        <v>768</v>
      </c>
    </row>
    <row r="139" customFormat="false" ht="15" hidden="false" customHeight="false" outlineLevel="0" collapsed="false">
      <c r="A139" s="11" t="s">
        <v>769</v>
      </c>
      <c r="B139" s="11" t="s">
        <v>106</v>
      </c>
      <c r="C139" s="11" t="s">
        <v>710</v>
      </c>
      <c r="D139" s="11" t="s">
        <v>640</v>
      </c>
      <c r="E139" s="11" t="s">
        <v>630</v>
      </c>
      <c r="F139" s="11"/>
      <c r="G139" s="11" t="s">
        <v>770</v>
      </c>
    </row>
    <row r="140" customFormat="false" ht="15" hidden="false" customHeight="false" outlineLevel="0" collapsed="false">
      <c r="A140" s="11" t="s">
        <v>771</v>
      </c>
      <c r="B140" s="11" t="s">
        <v>106</v>
      </c>
      <c r="C140" s="11" t="s">
        <v>710</v>
      </c>
      <c r="D140" s="11" t="s">
        <v>640</v>
      </c>
      <c r="E140" s="11" t="s">
        <v>630</v>
      </c>
      <c r="F140" s="11"/>
      <c r="G140" s="11" t="s">
        <v>772</v>
      </c>
    </row>
    <row r="141" customFormat="false" ht="15" hidden="false" customHeight="false" outlineLevel="0" collapsed="false">
      <c r="A141" s="11" t="s">
        <v>773</v>
      </c>
      <c r="B141" s="11" t="s">
        <v>106</v>
      </c>
      <c r="C141" s="11" t="s">
        <v>710</v>
      </c>
      <c r="D141" s="11" t="s">
        <v>640</v>
      </c>
      <c r="E141" s="11" t="s">
        <v>630</v>
      </c>
      <c r="F141" s="11"/>
      <c r="G141" s="11" t="s">
        <v>774</v>
      </c>
    </row>
    <row r="142" customFormat="false" ht="15" hidden="false" customHeight="false" outlineLevel="0" collapsed="false">
      <c r="A142" s="11" t="s">
        <v>775</v>
      </c>
      <c r="B142" s="11" t="s">
        <v>106</v>
      </c>
      <c r="C142" s="11" t="s">
        <v>710</v>
      </c>
      <c r="D142" s="11" t="s">
        <v>640</v>
      </c>
      <c r="E142" s="11" t="s">
        <v>630</v>
      </c>
      <c r="F142" s="11"/>
      <c r="G142" s="11" t="s">
        <v>776</v>
      </c>
    </row>
    <row r="143" customFormat="false" ht="15" hidden="false" customHeight="false" outlineLevel="0" collapsed="false">
      <c r="A143" s="11" t="s">
        <v>777</v>
      </c>
      <c r="B143" s="11" t="s">
        <v>106</v>
      </c>
      <c r="C143" s="11" t="s">
        <v>710</v>
      </c>
      <c r="D143" s="11" t="s">
        <v>640</v>
      </c>
      <c r="E143" s="11" t="s">
        <v>630</v>
      </c>
      <c r="F143" s="11"/>
      <c r="G143" s="11" t="s">
        <v>778</v>
      </c>
    </row>
    <row r="144" customFormat="false" ht="15" hidden="false" customHeight="false" outlineLevel="0" collapsed="false">
      <c r="A144" s="11" t="s">
        <v>779</v>
      </c>
      <c r="B144" s="11" t="s">
        <v>106</v>
      </c>
      <c r="C144" s="11" t="s">
        <v>710</v>
      </c>
      <c r="D144" s="11" t="s">
        <v>640</v>
      </c>
      <c r="E144" s="11" t="s">
        <v>630</v>
      </c>
      <c r="F144" s="11"/>
      <c r="G144" s="11" t="s">
        <v>780</v>
      </c>
    </row>
    <row r="145" customFormat="false" ht="15" hidden="false" customHeight="false" outlineLevel="0" collapsed="false">
      <c r="A145" s="11" t="s">
        <v>781</v>
      </c>
      <c r="B145" s="11" t="s">
        <v>106</v>
      </c>
      <c r="C145" s="11" t="s">
        <v>710</v>
      </c>
      <c r="D145" s="11" t="s">
        <v>640</v>
      </c>
      <c r="E145" s="11" t="s">
        <v>630</v>
      </c>
      <c r="F145" s="11"/>
      <c r="G145" s="11" t="s">
        <v>380</v>
      </c>
    </row>
    <row r="146" customFormat="false" ht="15" hidden="false" customHeight="false" outlineLevel="0" collapsed="false">
      <c r="A146" s="11" t="s">
        <v>782</v>
      </c>
      <c r="B146" s="11" t="s">
        <v>106</v>
      </c>
      <c r="C146" s="11" t="s">
        <v>710</v>
      </c>
      <c r="D146" s="11" t="s">
        <v>640</v>
      </c>
      <c r="E146" s="11" t="s">
        <v>630</v>
      </c>
      <c r="F146" s="11"/>
      <c r="G146" s="11" t="s">
        <v>380</v>
      </c>
    </row>
    <row r="147" customFormat="false" ht="15" hidden="false" customHeight="false" outlineLevel="0" collapsed="false">
      <c r="A147" s="11" t="s">
        <v>783</v>
      </c>
      <c r="B147" s="11" t="s">
        <v>106</v>
      </c>
      <c r="C147" s="11" t="s">
        <v>710</v>
      </c>
      <c r="D147" s="11" t="s">
        <v>640</v>
      </c>
      <c r="E147" s="11" t="s">
        <v>630</v>
      </c>
      <c r="F147" s="11"/>
      <c r="G147" s="11" t="s">
        <v>784</v>
      </c>
    </row>
    <row r="148" customFormat="false" ht="15" hidden="false" customHeight="false" outlineLevel="0" collapsed="false">
      <c r="A148" s="11" t="s">
        <v>785</v>
      </c>
      <c r="B148" s="11" t="s">
        <v>106</v>
      </c>
      <c r="C148" s="11" t="s">
        <v>710</v>
      </c>
      <c r="D148" s="11" t="s">
        <v>640</v>
      </c>
      <c r="E148" s="11" t="s">
        <v>630</v>
      </c>
      <c r="F148" s="11"/>
      <c r="G148" s="11" t="s">
        <v>786</v>
      </c>
    </row>
    <row r="149" customFormat="false" ht="15" hidden="false" customHeight="false" outlineLevel="0" collapsed="false">
      <c r="A149" s="11" t="s">
        <v>787</v>
      </c>
      <c r="B149" s="11" t="s">
        <v>106</v>
      </c>
      <c r="C149" s="11" t="s">
        <v>710</v>
      </c>
      <c r="D149" s="11" t="s">
        <v>640</v>
      </c>
      <c r="E149" s="11" t="s">
        <v>630</v>
      </c>
      <c r="F149" s="11"/>
      <c r="G149" s="11" t="s">
        <v>788</v>
      </c>
    </row>
    <row r="150" customFormat="false" ht="15" hidden="false" customHeight="false" outlineLevel="0" collapsed="false">
      <c r="A150" s="11" t="s">
        <v>789</v>
      </c>
      <c r="B150" s="11" t="s">
        <v>106</v>
      </c>
      <c r="C150" s="11" t="s">
        <v>710</v>
      </c>
      <c r="D150" s="11" t="s">
        <v>640</v>
      </c>
      <c r="E150" s="11" t="s">
        <v>630</v>
      </c>
      <c r="F150" s="11"/>
      <c r="G150" s="11" t="s">
        <v>790</v>
      </c>
    </row>
    <row r="151" customFormat="false" ht="15" hidden="false" customHeight="false" outlineLevel="0" collapsed="false">
      <c r="A151" s="11" t="s">
        <v>791</v>
      </c>
      <c r="B151" s="11" t="s">
        <v>106</v>
      </c>
      <c r="C151" s="11" t="s">
        <v>710</v>
      </c>
      <c r="D151" s="11" t="s">
        <v>640</v>
      </c>
      <c r="E151" s="11" t="s">
        <v>630</v>
      </c>
      <c r="F151" s="11"/>
      <c r="G151" s="11" t="s">
        <v>792</v>
      </c>
    </row>
    <row r="152" customFormat="false" ht="15" hidden="false" customHeight="false" outlineLevel="0" collapsed="false">
      <c r="A152" s="11" t="s">
        <v>793</v>
      </c>
      <c r="B152" s="11" t="s">
        <v>106</v>
      </c>
      <c r="C152" s="11" t="s">
        <v>710</v>
      </c>
      <c r="D152" s="11" t="s">
        <v>640</v>
      </c>
      <c r="E152" s="11" t="s">
        <v>630</v>
      </c>
      <c r="F152" s="11"/>
      <c r="G152" s="11" t="s">
        <v>794</v>
      </c>
    </row>
    <row r="153" customFormat="false" ht="15" hidden="false" customHeight="false" outlineLevel="0" collapsed="false">
      <c r="A153" s="11" t="s">
        <v>795</v>
      </c>
      <c r="B153" s="11" t="s">
        <v>106</v>
      </c>
      <c r="C153" s="11" t="s">
        <v>710</v>
      </c>
      <c r="D153" s="11" t="s">
        <v>640</v>
      </c>
      <c r="E153" s="11" t="s">
        <v>630</v>
      </c>
      <c r="F153" s="11"/>
      <c r="G153" s="11" t="s">
        <v>796</v>
      </c>
    </row>
    <row r="154" customFormat="false" ht="15" hidden="false" customHeight="false" outlineLevel="0" collapsed="false">
      <c r="A154" s="11" t="s">
        <v>797</v>
      </c>
      <c r="B154" s="11" t="s">
        <v>106</v>
      </c>
      <c r="C154" s="11" t="s">
        <v>710</v>
      </c>
      <c r="D154" s="11" t="s">
        <v>640</v>
      </c>
      <c r="E154" s="11" t="s">
        <v>630</v>
      </c>
      <c r="F154" s="11"/>
      <c r="G154" s="11" t="s">
        <v>796</v>
      </c>
    </row>
    <row r="155" customFormat="false" ht="15" hidden="false" customHeight="false" outlineLevel="0" collapsed="false">
      <c r="A155" s="11" t="s">
        <v>798</v>
      </c>
      <c r="B155" s="11" t="s">
        <v>106</v>
      </c>
      <c r="C155" s="11" t="s">
        <v>799</v>
      </c>
      <c r="D155" s="11" t="s">
        <v>640</v>
      </c>
      <c r="E155" s="11" t="s">
        <v>630</v>
      </c>
      <c r="F155" s="11"/>
      <c r="G155" s="11" t="s">
        <v>800</v>
      </c>
    </row>
    <row r="156" customFormat="false" ht="15" hidden="false" customHeight="false" outlineLevel="0" collapsed="false">
      <c r="A156" s="11" t="s">
        <v>801</v>
      </c>
      <c r="B156" s="11" t="s">
        <v>106</v>
      </c>
      <c r="C156" s="11" t="s">
        <v>799</v>
      </c>
      <c r="D156" s="11" t="s">
        <v>640</v>
      </c>
      <c r="E156" s="11" t="s">
        <v>630</v>
      </c>
      <c r="F156" s="11"/>
      <c r="G156" s="11" t="s">
        <v>802</v>
      </c>
    </row>
    <row r="157" customFormat="false" ht="15" hidden="false" customHeight="false" outlineLevel="0" collapsed="false">
      <c r="A157" s="11" t="s">
        <v>803</v>
      </c>
      <c r="B157" s="11" t="s">
        <v>106</v>
      </c>
      <c r="C157" s="11" t="s">
        <v>799</v>
      </c>
      <c r="D157" s="11" t="s">
        <v>640</v>
      </c>
      <c r="E157" s="11" t="s">
        <v>630</v>
      </c>
      <c r="F157" s="11"/>
      <c r="G157" s="11" t="s">
        <v>804</v>
      </c>
    </row>
    <row r="158" customFormat="false" ht="15" hidden="false" customHeight="false" outlineLevel="0" collapsed="false">
      <c r="A158" s="11" t="s">
        <v>805</v>
      </c>
      <c r="B158" s="11" t="s">
        <v>106</v>
      </c>
      <c r="C158" s="11" t="s">
        <v>799</v>
      </c>
      <c r="D158" s="11" t="s">
        <v>640</v>
      </c>
      <c r="E158" s="11" t="s">
        <v>630</v>
      </c>
      <c r="F158" s="11"/>
      <c r="G158" s="11" t="s">
        <v>806</v>
      </c>
    </row>
    <row r="159" customFormat="false" ht="15" hidden="false" customHeight="false" outlineLevel="0" collapsed="false">
      <c r="A159" s="11" t="s">
        <v>807</v>
      </c>
      <c r="B159" s="11" t="s">
        <v>106</v>
      </c>
      <c r="C159" s="11" t="s">
        <v>799</v>
      </c>
      <c r="D159" s="11" t="s">
        <v>640</v>
      </c>
      <c r="E159" s="11" t="s">
        <v>630</v>
      </c>
      <c r="F159" s="11"/>
      <c r="G159" s="11" t="s">
        <v>808</v>
      </c>
    </row>
    <row r="160" customFormat="false" ht="15" hidden="false" customHeight="false" outlineLevel="0" collapsed="false">
      <c r="A160" s="11" t="s">
        <v>809</v>
      </c>
      <c r="B160" s="11" t="s">
        <v>106</v>
      </c>
      <c r="C160" s="11" t="s">
        <v>799</v>
      </c>
      <c r="D160" s="11" t="s">
        <v>640</v>
      </c>
      <c r="E160" s="11" t="s">
        <v>630</v>
      </c>
      <c r="F160" s="11"/>
      <c r="G160" s="11" t="s">
        <v>810</v>
      </c>
    </row>
    <row r="161" customFormat="false" ht="15" hidden="false" customHeight="false" outlineLevel="0" collapsed="false">
      <c r="A161" s="11" t="s">
        <v>811</v>
      </c>
      <c r="B161" s="11" t="s">
        <v>106</v>
      </c>
      <c r="C161" s="11" t="s">
        <v>799</v>
      </c>
      <c r="D161" s="11" t="s">
        <v>640</v>
      </c>
      <c r="E161" s="11" t="s">
        <v>630</v>
      </c>
      <c r="F161" s="11"/>
      <c r="G161" s="11" t="s">
        <v>812</v>
      </c>
    </row>
    <row r="162" customFormat="false" ht="15" hidden="false" customHeight="false" outlineLevel="0" collapsed="false">
      <c r="A162" s="11" t="s">
        <v>813</v>
      </c>
      <c r="B162" s="11" t="s">
        <v>106</v>
      </c>
      <c r="C162" s="11" t="s">
        <v>799</v>
      </c>
      <c r="D162" s="11" t="s">
        <v>640</v>
      </c>
      <c r="E162" s="11" t="s">
        <v>630</v>
      </c>
      <c r="F162" s="11"/>
      <c r="G162" s="11" t="s">
        <v>814</v>
      </c>
    </row>
    <row r="163" customFormat="false" ht="15" hidden="false" customHeight="false" outlineLevel="0" collapsed="false">
      <c r="A163" s="11" t="s">
        <v>815</v>
      </c>
      <c r="B163" s="11" t="s">
        <v>106</v>
      </c>
      <c r="C163" s="11" t="s">
        <v>799</v>
      </c>
      <c r="D163" s="11" t="s">
        <v>640</v>
      </c>
      <c r="E163" s="11" t="s">
        <v>630</v>
      </c>
      <c r="F163" s="11"/>
      <c r="G163" s="11" t="s">
        <v>816</v>
      </c>
    </row>
    <row r="164" customFormat="false" ht="15" hidden="false" customHeight="false" outlineLevel="0" collapsed="false">
      <c r="A164" s="11" t="s">
        <v>817</v>
      </c>
      <c r="B164" s="11" t="s">
        <v>106</v>
      </c>
      <c r="C164" s="11" t="s">
        <v>799</v>
      </c>
      <c r="D164" s="11" t="s">
        <v>640</v>
      </c>
      <c r="E164" s="11" t="s">
        <v>630</v>
      </c>
      <c r="F164" s="11"/>
      <c r="G164" s="11" t="s">
        <v>818</v>
      </c>
    </row>
    <row r="165" customFormat="false" ht="15" hidden="false" customHeight="false" outlineLevel="0" collapsed="false">
      <c r="A165" s="11" t="s">
        <v>819</v>
      </c>
      <c r="B165" s="11" t="s">
        <v>106</v>
      </c>
      <c r="C165" s="11" t="s">
        <v>799</v>
      </c>
      <c r="D165" s="11" t="s">
        <v>640</v>
      </c>
      <c r="E165" s="11" t="s">
        <v>630</v>
      </c>
      <c r="F165" s="11"/>
      <c r="G165" s="11" t="s">
        <v>820</v>
      </c>
    </row>
    <row r="166" customFormat="false" ht="15" hidden="false" customHeight="false" outlineLevel="0" collapsed="false">
      <c r="A166" s="11" t="s">
        <v>821</v>
      </c>
      <c r="B166" s="11" t="s">
        <v>106</v>
      </c>
      <c r="C166" s="11" t="s">
        <v>799</v>
      </c>
      <c r="D166" s="11" t="s">
        <v>640</v>
      </c>
      <c r="E166" s="11" t="s">
        <v>630</v>
      </c>
      <c r="F166" s="11"/>
      <c r="G166" s="11" t="s">
        <v>822</v>
      </c>
    </row>
    <row r="167" customFormat="false" ht="15" hidden="false" customHeight="false" outlineLevel="0" collapsed="false">
      <c r="A167" s="11" t="s">
        <v>823</v>
      </c>
      <c r="B167" s="11" t="s">
        <v>106</v>
      </c>
      <c r="C167" s="11" t="s">
        <v>799</v>
      </c>
      <c r="D167" s="11" t="s">
        <v>640</v>
      </c>
      <c r="E167" s="11" t="s">
        <v>630</v>
      </c>
      <c r="F167" s="11"/>
      <c r="G167" s="11" t="s">
        <v>824</v>
      </c>
    </row>
    <row r="168" customFormat="false" ht="15" hidden="false" customHeight="false" outlineLevel="0" collapsed="false">
      <c r="A168" s="11" t="s">
        <v>825</v>
      </c>
      <c r="B168" s="11" t="s">
        <v>106</v>
      </c>
      <c r="C168" s="11" t="s">
        <v>799</v>
      </c>
      <c r="D168" s="11" t="s">
        <v>640</v>
      </c>
      <c r="E168" s="11" t="s">
        <v>630</v>
      </c>
      <c r="F168" s="11"/>
      <c r="G168" s="11" t="s">
        <v>706</v>
      </c>
    </row>
    <row r="169" customFormat="false" ht="15" hidden="false" customHeight="false" outlineLevel="0" collapsed="false">
      <c r="A169" s="11" t="s">
        <v>826</v>
      </c>
      <c r="B169" s="11" t="s">
        <v>106</v>
      </c>
      <c r="C169" s="11" t="s">
        <v>799</v>
      </c>
      <c r="D169" s="11" t="s">
        <v>640</v>
      </c>
      <c r="E169" s="11" t="s">
        <v>630</v>
      </c>
      <c r="F169" s="11"/>
      <c r="G169" s="11" t="s">
        <v>827</v>
      </c>
    </row>
    <row r="170" customFormat="false" ht="15" hidden="false" customHeight="false" outlineLevel="0" collapsed="false">
      <c r="A170" s="11" t="s">
        <v>828</v>
      </c>
      <c r="B170" s="11" t="s">
        <v>106</v>
      </c>
      <c r="C170" s="11" t="s">
        <v>799</v>
      </c>
      <c r="D170" s="11" t="s">
        <v>640</v>
      </c>
      <c r="E170" s="11" t="s">
        <v>630</v>
      </c>
      <c r="F170" s="11"/>
      <c r="G170" s="11" t="s">
        <v>829</v>
      </c>
    </row>
    <row r="171" customFormat="false" ht="15" hidden="false" customHeight="false" outlineLevel="0" collapsed="false">
      <c r="A171" s="11" t="s">
        <v>830</v>
      </c>
      <c r="B171" s="11" t="s">
        <v>106</v>
      </c>
      <c r="C171" s="11" t="s">
        <v>799</v>
      </c>
      <c r="D171" s="11" t="s">
        <v>640</v>
      </c>
      <c r="E171" s="11" t="s">
        <v>630</v>
      </c>
      <c r="F171" s="11"/>
      <c r="G171" s="11" t="s">
        <v>831</v>
      </c>
    </row>
    <row r="172" customFormat="false" ht="15" hidden="false" customHeight="false" outlineLevel="0" collapsed="false">
      <c r="A172" s="11" t="s">
        <v>832</v>
      </c>
      <c r="B172" s="11" t="s">
        <v>106</v>
      </c>
      <c r="C172" s="11" t="s">
        <v>799</v>
      </c>
      <c r="D172" s="11" t="s">
        <v>640</v>
      </c>
      <c r="E172" s="11" t="s">
        <v>630</v>
      </c>
      <c r="F172" s="11"/>
      <c r="G172" s="11" t="s">
        <v>833</v>
      </c>
    </row>
    <row r="173" customFormat="false" ht="15" hidden="false" customHeight="false" outlineLevel="0" collapsed="false">
      <c r="A173" s="11" t="s">
        <v>834</v>
      </c>
      <c r="B173" s="11" t="s">
        <v>106</v>
      </c>
      <c r="C173" s="11" t="s">
        <v>799</v>
      </c>
      <c r="D173" s="11" t="s">
        <v>640</v>
      </c>
      <c r="E173" s="11" t="s">
        <v>630</v>
      </c>
      <c r="F173" s="11"/>
      <c r="G173" s="11" t="s">
        <v>708</v>
      </c>
    </row>
    <row r="174" customFormat="false" ht="15" hidden="false" customHeight="false" outlineLevel="0" collapsed="false">
      <c r="A174" s="11" t="s">
        <v>835</v>
      </c>
      <c r="B174" s="11" t="s">
        <v>106</v>
      </c>
      <c r="C174" s="11" t="s">
        <v>799</v>
      </c>
      <c r="D174" s="11" t="s">
        <v>640</v>
      </c>
      <c r="E174" s="11" t="s">
        <v>630</v>
      </c>
      <c r="F174" s="11"/>
      <c r="G174" s="11" t="s">
        <v>836</v>
      </c>
    </row>
    <row r="175" customFormat="false" ht="15" hidden="false" customHeight="false" outlineLevel="0" collapsed="false">
      <c r="A175" s="11" t="s">
        <v>837</v>
      </c>
      <c r="B175" s="11" t="s">
        <v>106</v>
      </c>
      <c r="C175" s="11" t="s">
        <v>799</v>
      </c>
      <c r="D175" s="11" t="s">
        <v>640</v>
      </c>
      <c r="E175" s="11" t="s">
        <v>630</v>
      </c>
      <c r="F175" s="11"/>
      <c r="G175" s="11" t="s">
        <v>838</v>
      </c>
    </row>
    <row r="176" customFormat="false" ht="15" hidden="false" customHeight="false" outlineLevel="0" collapsed="false">
      <c r="A176" s="11" t="s">
        <v>839</v>
      </c>
      <c r="B176" s="11" t="s">
        <v>106</v>
      </c>
      <c r="C176" s="11" t="s">
        <v>799</v>
      </c>
      <c r="D176" s="11" t="s">
        <v>640</v>
      </c>
      <c r="E176" s="11" t="s">
        <v>630</v>
      </c>
      <c r="F176" s="11"/>
      <c r="G176" s="11" t="s">
        <v>840</v>
      </c>
    </row>
    <row r="177" customFormat="false" ht="15" hidden="false" customHeight="false" outlineLevel="0" collapsed="false">
      <c r="A177" s="11" t="s">
        <v>841</v>
      </c>
      <c r="B177" s="11" t="s">
        <v>106</v>
      </c>
      <c r="C177" s="11" t="s">
        <v>799</v>
      </c>
      <c r="D177" s="11" t="s">
        <v>640</v>
      </c>
      <c r="E177" s="11" t="s">
        <v>630</v>
      </c>
      <c r="F177" s="11"/>
      <c r="G177" s="11" t="s">
        <v>842</v>
      </c>
    </row>
    <row r="178" customFormat="false" ht="15" hidden="false" customHeight="false" outlineLevel="0" collapsed="false">
      <c r="A178" s="11" t="s">
        <v>843</v>
      </c>
      <c r="B178" s="11" t="s">
        <v>106</v>
      </c>
      <c r="C178" s="11" t="s">
        <v>844</v>
      </c>
      <c r="D178" s="11" t="s">
        <v>640</v>
      </c>
      <c r="E178" s="11" t="s">
        <v>630</v>
      </c>
      <c r="F178" s="11"/>
      <c r="G178" s="11" t="s">
        <v>845</v>
      </c>
    </row>
    <row r="179" customFormat="false" ht="15" hidden="false" customHeight="false" outlineLevel="0" collapsed="false">
      <c r="A179" s="11" t="s">
        <v>846</v>
      </c>
      <c r="B179" s="11" t="s">
        <v>106</v>
      </c>
      <c r="C179" s="11" t="s">
        <v>844</v>
      </c>
      <c r="D179" s="11" t="s">
        <v>640</v>
      </c>
      <c r="E179" s="11" t="s">
        <v>630</v>
      </c>
      <c r="F179" s="11"/>
      <c r="G179" s="11" t="s">
        <v>847</v>
      </c>
    </row>
    <row r="180" customFormat="false" ht="15" hidden="false" customHeight="false" outlineLevel="0" collapsed="false">
      <c r="A180" s="11" t="s">
        <v>848</v>
      </c>
      <c r="B180" s="11" t="s">
        <v>106</v>
      </c>
      <c r="C180" s="11" t="s">
        <v>844</v>
      </c>
      <c r="D180" s="11" t="s">
        <v>640</v>
      </c>
      <c r="E180" s="11" t="s">
        <v>630</v>
      </c>
      <c r="F180" s="11"/>
      <c r="G180" s="11" t="s">
        <v>849</v>
      </c>
    </row>
    <row r="181" customFormat="false" ht="15" hidden="false" customHeight="false" outlineLevel="0" collapsed="false">
      <c r="A181" s="11" t="s">
        <v>850</v>
      </c>
      <c r="B181" s="11" t="s">
        <v>106</v>
      </c>
      <c r="C181" s="11" t="s">
        <v>844</v>
      </c>
      <c r="D181" s="11" t="s">
        <v>640</v>
      </c>
      <c r="E181" s="11" t="s">
        <v>630</v>
      </c>
      <c r="F181" s="11"/>
      <c r="G181" s="11" t="s">
        <v>851</v>
      </c>
    </row>
    <row r="182" customFormat="false" ht="15" hidden="false" customHeight="false" outlineLevel="0" collapsed="false">
      <c r="A182" s="11" t="s">
        <v>852</v>
      </c>
      <c r="B182" s="11" t="s">
        <v>106</v>
      </c>
      <c r="C182" s="11" t="s">
        <v>844</v>
      </c>
      <c r="D182" s="11" t="s">
        <v>640</v>
      </c>
      <c r="E182" s="11" t="s">
        <v>630</v>
      </c>
      <c r="F182" s="11"/>
      <c r="G182" s="11" t="s">
        <v>853</v>
      </c>
    </row>
    <row r="183" customFormat="false" ht="15" hidden="false" customHeight="false" outlineLevel="0" collapsed="false">
      <c r="A183" s="11" t="s">
        <v>854</v>
      </c>
      <c r="B183" s="11" t="s">
        <v>106</v>
      </c>
      <c r="C183" s="11" t="s">
        <v>844</v>
      </c>
      <c r="D183" s="11" t="s">
        <v>640</v>
      </c>
      <c r="E183" s="11" t="s">
        <v>630</v>
      </c>
      <c r="F183" s="11"/>
      <c r="G183" s="11" t="s">
        <v>847</v>
      </c>
    </row>
    <row r="184" customFormat="false" ht="15" hidden="false" customHeight="false" outlineLevel="0" collapsed="false">
      <c r="A184" s="11" t="s">
        <v>855</v>
      </c>
      <c r="B184" s="11" t="s">
        <v>106</v>
      </c>
      <c r="C184" s="11" t="s">
        <v>844</v>
      </c>
      <c r="D184" s="11" t="s">
        <v>640</v>
      </c>
      <c r="E184" s="11" t="s">
        <v>630</v>
      </c>
      <c r="F184" s="11"/>
      <c r="G184" s="11" t="s">
        <v>856</v>
      </c>
    </row>
    <row r="185" customFormat="false" ht="15" hidden="false" customHeight="false" outlineLevel="0" collapsed="false">
      <c r="A185" s="11" t="s">
        <v>857</v>
      </c>
      <c r="B185" s="11" t="s">
        <v>106</v>
      </c>
      <c r="C185" s="11" t="s">
        <v>844</v>
      </c>
      <c r="D185" s="11" t="s">
        <v>640</v>
      </c>
      <c r="E185" s="11" t="s">
        <v>630</v>
      </c>
      <c r="F185" s="11"/>
      <c r="G185" s="11" t="s">
        <v>858</v>
      </c>
    </row>
    <row r="186" customFormat="false" ht="15" hidden="false" customHeight="false" outlineLevel="0" collapsed="false">
      <c r="A186" s="11" t="s">
        <v>859</v>
      </c>
      <c r="B186" s="11" t="s">
        <v>106</v>
      </c>
      <c r="C186" s="11" t="s">
        <v>844</v>
      </c>
      <c r="D186" s="11" t="s">
        <v>640</v>
      </c>
      <c r="E186" s="11" t="s">
        <v>630</v>
      </c>
      <c r="F186" s="11"/>
      <c r="G186" s="11" t="s">
        <v>860</v>
      </c>
    </row>
    <row r="187" customFormat="false" ht="15" hidden="false" customHeight="false" outlineLevel="0" collapsed="false">
      <c r="A187" s="11" t="s">
        <v>861</v>
      </c>
      <c r="B187" s="11" t="s">
        <v>106</v>
      </c>
      <c r="C187" s="11" t="s">
        <v>844</v>
      </c>
      <c r="D187" s="11" t="s">
        <v>640</v>
      </c>
      <c r="E187" s="11" t="s">
        <v>630</v>
      </c>
      <c r="F187" s="11"/>
      <c r="G187" s="11" t="s">
        <v>862</v>
      </c>
    </row>
    <row r="188" customFormat="false" ht="15" hidden="false" customHeight="false" outlineLevel="0" collapsed="false">
      <c r="A188" s="11" t="s">
        <v>863</v>
      </c>
      <c r="B188" s="11" t="s">
        <v>106</v>
      </c>
      <c r="C188" s="11" t="s">
        <v>844</v>
      </c>
      <c r="D188" s="11" t="s">
        <v>640</v>
      </c>
      <c r="E188" s="11" t="s">
        <v>630</v>
      </c>
      <c r="F188" s="11"/>
      <c r="G188" s="11" t="s">
        <v>174</v>
      </c>
    </row>
    <row r="189" customFormat="false" ht="15" hidden="false" customHeight="false" outlineLevel="0" collapsed="false">
      <c r="A189" s="11" t="s">
        <v>864</v>
      </c>
      <c r="B189" s="11" t="s">
        <v>106</v>
      </c>
      <c r="C189" s="11" t="s">
        <v>844</v>
      </c>
      <c r="D189" s="11" t="s">
        <v>640</v>
      </c>
      <c r="E189" s="11" t="s">
        <v>630</v>
      </c>
      <c r="F189" s="11"/>
      <c r="G189" s="11" t="s">
        <v>155</v>
      </c>
    </row>
    <row r="190" customFormat="false" ht="15" hidden="false" customHeight="false" outlineLevel="0" collapsed="false">
      <c r="A190" s="11" t="s">
        <v>865</v>
      </c>
      <c r="B190" s="11" t="s">
        <v>106</v>
      </c>
      <c r="C190" s="11" t="s">
        <v>844</v>
      </c>
      <c r="D190" s="11" t="s">
        <v>640</v>
      </c>
      <c r="E190" s="11" t="s">
        <v>630</v>
      </c>
      <c r="F190" s="11"/>
      <c r="G190" s="11" t="s">
        <v>158</v>
      </c>
    </row>
    <row r="191" customFormat="false" ht="15" hidden="false" customHeight="false" outlineLevel="0" collapsed="false">
      <c r="A191" s="11" t="s">
        <v>866</v>
      </c>
      <c r="B191" s="11" t="s">
        <v>106</v>
      </c>
      <c r="C191" s="11" t="s">
        <v>844</v>
      </c>
      <c r="D191" s="11" t="s">
        <v>640</v>
      </c>
      <c r="E191" s="11" t="s">
        <v>630</v>
      </c>
      <c r="F191" s="11"/>
      <c r="G191" s="11" t="s">
        <v>867</v>
      </c>
    </row>
    <row r="192" customFormat="false" ht="15" hidden="false" customHeight="false" outlineLevel="0" collapsed="false">
      <c r="A192" s="11" t="s">
        <v>868</v>
      </c>
      <c r="B192" s="11" t="s">
        <v>106</v>
      </c>
      <c r="C192" s="11" t="s">
        <v>844</v>
      </c>
      <c r="D192" s="11" t="s">
        <v>640</v>
      </c>
      <c r="E192" s="11" t="s">
        <v>630</v>
      </c>
      <c r="F192" s="11"/>
      <c r="G192" s="11" t="s">
        <v>869</v>
      </c>
    </row>
    <row r="193" customFormat="false" ht="15" hidden="false" customHeight="false" outlineLevel="0" collapsed="false">
      <c r="A193" s="11" t="s">
        <v>870</v>
      </c>
      <c r="B193" s="11" t="s">
        <v>106</v>
      </c>
      <c r="C193" s="11" t="s">
        <v>844</v>
      </c>
      <c r="D193" s="11" t="s">
        <v>640</v>
      </c>
      <c r="E193" s="11" t="s">
        <v>630</v>
      </c>
      <c r="F193" s="11"/>
      <c r="G193" s="11" t="s">
        <v>871</v>
      </c>
    </row>
    <row r="194" customFormat="false" ht="15" hidden="false" customHeight="false" outlineLevel="0" collapsed="false">
      <c r="A194" s="11" t="s">
        <v>872</v>
      </c>
      <c r="B194" s="11" t="s">
        <v>106</v>
      </c>
      <c r="C194" s="11" t="s">
        <v>844</v>
      </c>
      <c r="D194" s="11" t="s">
        <v>640</v>
      </c>
      <c r="E194" s="11" t="s">
        <v>630</v>
      </c>
      <c r="F194" s="11"/>
      <c r="G194" s="11" t="s">
        <v>873</v>
      </c>
    </row>
    <row r="195" customFormat="false" ht="15" hidden="false" customHeight="false" outlineLevel="0" collapsed="false">
      <c r="A195" s="11" t="s">
        <v>874</v>
      </c>
      <c r="B195" s="11" t="s">
        <v>106</v>
      </c>
      <c r="C195" s="11" t="s">
        <v>844</v>
      </c>
      <c r="D195" s="11" t="s">
        <v>640</v>
      </c>
      <c r="E195" s="11" t="s">
        <v>630</v>
      </c>
      <c r="F195" s="11"/>
      <c r="G195" s="11" t="s">
        <v>875</v>
      </c>
    </row>
    <row r="196" customFormat="false" ht="15" hidden="false" customHeight="false" outlineLevel="0" collapsed="false">
      <c r="A196" s="11" t="s">
        <v>876</v>
      </c>
      <c r="B196" s="11" t="s">
        <v>106</v>
      </c>
      <c r="C196" s="11" t="s">
        <v>844</v>
      </c>
      <c r="D196" s="11" t="s">
        <v>640</v>
      </c>
      <c r="E196" s="11" t="s">
        <v>630</v>
      </c>
      <c r="F196" s="11"/>
      <c r="G196" s="11" t="s">
        <v>877</v>
      </c>
    </row>
    <row r="197" customFormat="false" ht="15" hidden="false" customHeight="false" outlineLevel="0" collapsed="false">
      <c r="A197" s="11" t="s">
        <v>878</v>
      </c>
      <c r="B197" s="11" t="s">
        <v>106</v>
      </c>
      <c r="C197" s="11" t="s">
        <v>844</v>
      </c>
      <c r="D197" s="11" t="s">
        <v>640</v>
      </c>
      <c r="E197" s="11" t="s">
        <v>630</v>
      </c>
      <c r="F197" s="11"/>
      <c r="G197" s="11" t="s">
        <v>879</v>
      </c>
    </row>
    <row r="198" customFormat="false" ht="15" hidden="false" customHeight="false" outlineLevel="0" collapsed="false">
      <c r="A198" s="11" t="s">
        <v>880</v>
      </c>
      <c r="B198" s="11" t="s">
        <v>106</v>
      </c>
      <c r="C198" s="11" t="s">
        <v>844</v>
      </c>
      <c r="D198" s="11" t="s">
        <v>640</v>
      </c>
      <c r="E198" s="11" t="s">
        <v>630</v>
      </c>
      <c r="F198" s="11"/>
      <c r="G198" s="11" t="s">
        <v>881</v>
      </c>
    </row>
    <row r="199" customFormat="false" ht="15" hidden="false" customHeight="false" outlineLevel="0" collapsed="false">
      <c r="A199" s="11" t="s">
        <v>882</v>
      </c>
      <c r="B199" s="11" t="s">
        <v>106</v>
      </c>
      <c r="C199" s="11" t="s">
        <v>844</v>
      </c>
      <c r="D199" s="11" t="s">
        <v>640</v>
      </c>
      <c r="E199" s="11" t="s">
        <v>630</v>
      </c>
      <c r="F199" s="11"/>
      <c r="G199" s="11" t="s">
        <v>883</v>
      </c>
    </row>
    <row r="200" customFormat="false" ht="15" hidden="false" customHeight="false" outlineLevel="0" collapsed="false">
      <c r="A200" s="11" t="s">
        <v>884</v>
      </c>
      <c r="B200" s="11" t="s">
        <v>106</v>
      </c>
      <c r="C200" s="11" t="s">
        <v>844</v>
      </c>
      <c r="D200" s="11" t="s">
        <v>640</v>
      </c>
      <c r="E200" s="11" t="s">
        <v>630</v>
      </c>
      <c r="F200" s="11"/>
      <c r="G200" s="11" t="s">
        <v>885</v>
      </c>
    </row>
    <row r="201" customFormat="false" ht="15" hidden="false" customHeight="false" outlineLevel="0" collapsed="false">
      <c r="A201" s="11" t="s">
        <v>886</v>
      </c>
      <c r="B201" s="11" t="s">
        <v>106</v>
      </c>
      <c r="C201" s="11" t="s">
        <v>844</v>
      </c>
      <c r="D201" s="11" t="s">
        <v>640</v>
      </c>
      <c r="E201" s="11" t="s">
        <v>630</v>
      </c>
      <c r="F201" s="11"/>
      <c r="G201" s="11" t="s">
        <v>887</v>
      </c>
    </row>
    <row r="202" customFormat="false" ht="15" hidden="false" customHeight="false" outlineLevel="0" collapsed="false">
      <c r="A202" s="11" t="s">
        <v>888</v>
      </c>
      <c r="B202" s="11" t="s">
        <v>106</v>
      </c>
      <c r="C202" s="11" t="s">
        <v>889</v>
      </c>
      <c r="D202" s="11" t="s">
        <v>640</v>
      </c>
      <c r="E202" s="11" t="s">
        <v>630</v>
      </c>
      <c r="F202" s="11"/>
      <c r="G202" s="11" t="s">
        <v>890</v>
      </c>
    </row>
    <row r="203" customFormat="false" ht="15" hidden="false" customHeight="false" outlineLevel="0" collapsed="false">
      <c r="A203" s="11" t="s">
        <v>891</v>
      </c>
      <c r="B203" s="11" t="s">
        <v>106</v>
      </c>
      <c r="C203" s="11" t="s">
        <v>889</v>
      </c>
      <c r="D203" s="11" t="s">
        <v>640</v>
      </c>
      <c r="E203" s="11" t="s">
        <v>630</v>
      </c>
      <c r="F203" s="11"/>
      <c r="G203" s="11" t="s">
        <v>892</v>
      </c>
    </row>
    <row r="204" customFormat="false" ht="15" hidden="false" customHeight="false" outlineLevel="0" collapsed="false">
      <c r="A204" s="11" t="s">
        <v>893</v>
      </c>
      <c r="B204" s="11" t="s">
        <v>106</v>
      </c>
      <c r="C204" s="11" t="s">
        <v>889</v>
      </c>
      <c r="D204" s="11" t="s">
        <v>640</v>
      </c>
      <c r="E204" s="11" t="s">
        <v>630</v>
      </c>
      <c r="F204" s="11"/>
      <c r="G204" s="11" t="s">
        <v>894</v>
      </c>
    </row>
    <row r="205" customFormat="false" ht="15" hidden="false" customHeight="false" outlineLevel="0" collapsed="false">
      <c r="A205" s="11" t="s">
        <v>895</v>
      </c>
      <c r="B205" s="11" t="s">
        <v>106</v>
      </c>
      <c r="C205" s="11" t="s">
        <v>889</v>
      </c>
      <c r="D205" s="11" t="s">
        <v>640</v>
      </c>
      <c r="E205" s="11" t="s">
        <v>630</v>
      </c>
      <c r="F205" s="11"/>
      <c r="G205" s="11" t="s">
        <v>896</v>
      </c>
    </row>
    <row r="206" customFormat="false" ht="15" hidden="false" customHeight="false" outlineLevel="0" collapsed="false">
      <c r="A206" s="11" t="s">
        <v>897</v>
      </c>
      <c r="B206" s="11" t="s">
        <v>106</v>
      </c>
      <c r="C206" s="11" t="s">
        <v>889</v>
      </c>
      <c r="D206" s="11" t="s">
        <v>640</v>
      </c>
      <c r="E206" s="11" t="s">
        <v>630</v>
      </c>
      <c r="F206" s="11"/>
      <c r="G206" s="11" t="s">
        <v>898</v>
      </c>
    </row>
    <row r="207" customFormat="false" ht="15" hidden="false" customHeight="false" outlineLevel="0" collapsed="false">
      <c r="A207" s="11" t="s">
        <v>899</v>
      </c>
      <c r="B207" s="11" t="s">
        <v>106</v>
      </c>
      <c r="C207" s="11" t="s">
        <v>889</v>
      </c>
      <c r="D207" s="11" t="s">
        <v>640</v>
      </c>
      <c r="E207" s="11" t="s">
        <v>630</v>
      </c>
      <c r="F207" s="11"/>
      <c r="G207" s="11" t="s">
        <v>900</v>
      </c>
    </row>
    <row r="208" customFormat="false" ht="15" hidden="false" customHeight="false" outlineLevel="0" collapsed="false">
      <c r="A208" s="11" t="s">
        <v>901</v>
      </c>
      <c r="B208" s="11" t="s">
        <v>106</v>
      </c>
      <c r="C208" s="11" t="s">
        <v>889</v>
      </c>
      <c r="D208" s="11" t="s">
        <v>640</v>
      </c>
      <c r="E208" s="11" t="s">
        <v>630</v>
      </c>
      <c r="F208" s="11"/>
      <c r="G208" s="11" t="s">
        <v>902</v>
      </c>
    </row>
    <row r="209" customFormat="false" ht="15" hidden="false" customHeight="false" outlineLevel="0" collapsed="false">
      <c r="A209" s="11" t="s">
        <v>903</v>
      </c>
      <c r="B209" s="11" t="s">
        <v>106</v>
      </c>
      <c r="C209" s="11" t="s">
        <v>889</v>
      </c>
      <c r="D209" s="11" t="s">
        <v>640</v>
      </c>
      <c r="E209" s="11" t="s">
        <v>630</v>
      </c>
      <c r="F209" s="11"/>
      <c r="G209" s="11" t="s">
        <v>904</v>
      </c>
    </row>
    <row r="210" customFormat="false" ht="15" hidden="false" customHeight="false" outlineLevel="0" collapsed="false">
      <c r="A210" s="11" t="s">
        <v>905</v>
      </c>
      <c r="B210" s="11" t="s">
        <v>106</v>
      </c>
      <c r="C210" s="11" t="s">
        <v>889</v>
      </c>
      <c r="D210" s="11" t="s">
        <v>640</v>
      </c>
      <c r="E210" s="11" t="s">
        <v>630</v>
      </c>
      <c r="F210" s="11"/>
      <c r="G210" s="11" t="s">
        <v>906</v>
      </c>
    </row>
    <row r="211" customFormat="false" ht="15" hidden="false" customHeight="false" outlineLevel="0" collapsed="false">
      <c r="A211" s="11" t="s">
        <v>907</v>
      </c>
      <c r="B211" s="11" t="s">
        <v>106</v>
      </c>
      <c r="C211" s="11" t="s">
        <v>889</v>
      </c>
      <c r="D211" s="11" t="s">
        <v>640</v>
      </c>
      <c r="E211" s="11" t="s">
        <v>630</v>
      </c>
      <c r="F211" s="11"/>
      <c r="G211" s="11" t="s">
        <v>908</v>
      </c>
    </row>
    <row r="212" customFormat="false" ht="15" hidden="false" customHeight="false" outlineLevel="0" collapsed="false">
      <c r="A212" s="11" t="s">
        <v>909</v>
      </c>
      <c r="B212" s="11" t="s">
        <v>106</v>
      </c>
      <c r="C212" s="11" t="s">
        <v>889</v>
      </c>
      <c r="D212" s="11" t="s">
        <v>640</v>
      </c>
      <c r="E212" s="11" t="s">
        <v>630</v>
      </c>
      <c r="F212" s="11"/>
      <c r="G212" s="11" t="s">
        <v>910</v>
      </c>
    </row>
    <row r="213" customFormat="false" ht="15" hidden="false" customHeight="false" outlineLevel="0" collapsed="false">
      <c r="A213" s="11" t="s">
        <v>911</v>
      </c>
      <c r="B213" s="11" t="s">
        <v>106</v>
      </c>
      <c r="C213" s="11" t="s">
        <v>889</v>
      </c>
      <c r="D213" s="11" t="s">
        <v>640</v>
      </c>
      <c r="E213" s="11" t="s">
        <v>630</v>
      </c>
      <c r="F213" s="11"/>
      <c r="G213" s="11" t="s">
        <v>912</v>
      </c>
    </row>
    <row r="214" customFormat="false" ht="15" hidden="false" customHeight="false" outlineLevel="0" collapsed="false">
      <c r="A214" s="11" t="s">
        <v>913</v>
      </c>
      <c r="B214" s="11" t="s">
        <v>106</v>
      </c>
      <c r="C214" s="11" t="s">
        <v>889</v>
      </c>
      <c r="D214" s="11" t="s">
        <v>640</v>
      </c>
      <c r="E214" s="11" t="s">
        <v>630</v>
      </c>
      <c r="F214" s="11"/>
      <c r="G214" s="11" t="s">
        <v>914</v>
      </c>
    </row>
    <row r="215" customFormat="false" ht="15" hidden="false" customHeight="false" outlineLevel="0" collapsed="false">
      <c r="A215" s="11" t="s">
        <v>915</v>
      </c>
      <c r="B215" s="11" t="s">
        <v>106</v>
      </c>
      <c r="C215" s="11" t="s">
        <v>916</v>
      </c>
      <c r="D215" s="11" t="s">
        <v>640</v>
      </c>
      <c r="E215" s="11" t="s">
        <v>630</v>
      </c>
      <c r="F215" s="11"/>
      <c r="G215" s="11" t="s">
        <v>845</v>
      </c>
    </row>
    <row r="216" customFormat="false" ht="15" hidden="false" customHeight="false" outlineLevel="0" collapsed="false">
      <c r="A216" s="11" t="s">
        <v>917</v>
      </c>
      <c r="B216" s="11" t="s">
        <v>106</v>
      </c>
      <c r="C216" s="11" t="s">
        <v>916</v>
      </c>
      <c r="D216" s="11" t="s">
        <v>640</v>
      </c>
      <c r="E216" s="11" t="s">
        <v>630</v>
      </c>
      <c r="F216" s="11"/>
      <c r="G216" s="11" t="s">
        <v>918</v>
      </c>
    </row>
    <row r="217" customFormat="false" ht="15" hidden="false" customHeight="false" outlineLevel="0" collapsed="false">
      <c r="A217" s="11" t="s">
        <v>919</v>
      </c>
      <c r="B217" s="11" t="s">
        <v>106</v>
      </c>
      <c r="C217" s="11" t="s">
        <v>916</v>
      </c>
      <c r="D217" s="11" t="s">
        <v>640</v>
      </c>
      <c r="E217" s="11" t="s">
        <v>630</v>
      </c>
      <c r="F217" s="11"/>
      <c r="G217" s="11" t="s">
        <v>622</v>
      </c>
    </row>
    <row r="218" customFormat="false" ht="15" hidden="false" customHeight="false" outlineLevel="0" collapsed="false">
      <c r="A218" s="11" t="s">
        <v>920</v>
      </c>
      <c r="B218" s="11" t="s">
        <v>106</v>
      </c>
      <c r="C218" s="11" t="s">
        <v>916</v>
      </c>
      <c r="D218" s="11" t="s">
        <v>640</v>
      </c>
      <c r="E218" s="11" t="s">
        <v>630</v>
      </c>
      <c r="F218" s="11"/>
      <c r="G218" s="11" t="s">
        <v>921</v>
      </c>
    </row>
    <row r="219" customFormat="false" ht="15" hidden="false" customHeight="false" outlineLevel="0" collapsed="false">
      <c r="A219" s="11" t="s">
        <v>922</v>
      </c>
      <c r="B219" s="11" t="s">
        <v>106</v>
      </c>
      <c r="C219" s="11" t="s">
        <v>916</v>
      </c>
      <c r="D219" s="11" t="s">
        <v>640</v>
      </c>
      <c r="E219" s="11" t="s">
        <v>630</v>
      </c>
      <c r="F219" s="11"/>
      <c r="G219" s="11" t="s">
        <v>923</v>
      </c>
    </row>
    <row r="220" customFormat="false" ht="15" hidden="false" customHeight="false" outlineLevel="0" collapsed="false">
      <c r="A220" s="11" t="s">
        <v>924</v>
      </c>
      <c r="B220" s="11" t="s">
        <v>106</v>
      </c>
      <c r="C220" s="11" t="s">
        <v>916</v>
      </c>
      <c r="D220" s="11" t="s">
        <v>640</v>
      </c>
      <c r="E220" s="11" t="s">
        <v>630</v>
      </c>
      <c r="F220" s="11"/>
      <c r="G220" s="11" t="s">
        <v>925</v>
      </c>
    </row>
    <row r="221" customFormat="false" ht="15" hidden="false" customHeight="false" outlineLevel="0" collapsed="false">
      <c r="A221" s="11" t="s">
        <v>926</v>
      </c>
      <c r="B221" s="11" t="s">
        <v>106</v>
      </c>
      <c r="C221" s="11" t="s">
        <v>916</v>
      </c>
      <c r="D221" s="11" t="s">
        <v>640</v>
      </c>
      <c r="E221" s="11" t="s">
        <v>630</v>
      </c>
      <c r="F221" s="11"/>
      <c r="G221" s="11" t="s">
        <v>927</v>
      </c>
    </row>
    <row r="222" customFormat="false" ht="15" hidden="false" customHeight="false" outlineLevel="0" collapsed="false">
      <c r="A222" s="11" t="s">
        <v>928</v>
      </c>
      <c r="B222" s="11" t="s">
        <v>106</v>
      </c>
      <c r="C222" s="11" t="s">
        <v>916</v>
      </c>
      <c r="D222" s="11" t="s">
        <v>640</v>
      </c>
      <c r="E222" s="11" t="s">
        <v>630</v>
      </c>
      <c r="F222" s="11"/>
      <c r="G222" s="11" t="s">
        <v>929</v>
      </c>
    </row>
    <row r="223" customFormat="false" ht="15" hidden="false" customHeight="false" outlineLevel="0" collapsed="false">
      <c r="A223" s="11" t="s">
        <v>930</v>
      </c>
      <c r="B223" s="11" t="s">
        <v>106</v>
      </c>
      <c r="C223" s="11" t="s">
        <v>916</v>
      </c>
      <c r="D223" s="11" t="s">
        <v>640</v>
      </c>
      <c r="E223" s="11" t="s">
        <v>630</v>
      </c>
      <c r="F223" s="11"/>
      <c r="G223" s="11" t="s">
        <v>931</v>
      </c>
    </row>
    <row r="224" customFormat="false" ht="15" hidden="false" customHeight="false" outlineLevel="0" collapsed="false">
      <c r="A224" s="11" t="s">
        <v>932</v>
      </c>
      <c r="B224" s="11" t="s">
        <v>106</v>
      </c>
      <c r="C224" s="11" t="s">
        <v>916</v>
      </c>
      <c r="D224" s="11" t="s">
        <v>640</v>
      </c>
      <c r="E224" s="11" t="s">
        <v>630</v>
      </c>
      <c r="F224" s="11"/>
      <c r="G224" s="11" t="s">
        <v>933</v>
      </c>
    </row>
    <row r="225" customFormat="false" ht="15" hidden="false" customHeight="false" outlineLevel="0" collapsed="false">
      <c r="A225" s="11" t="s">
        <v>934</v>
      </c>
      <c r="B225" s="11" t="s">
        <v>106</v>
      </c>
      <c r="C225" s="11" t="s">
        <v>916</v>
      </c>
      <c r="D225" s="11" t="s">
        <v>640</v>
      </c>
      <c r="E225" s="11" t="s">
        <v>630</v>
      </c>
      <c r="F225" s="11"/>
      <c r="G225" s="11" t="s">
        <v>935</v>
      </c>
    </row>
    <row r="226" customFormat="false" ht="15" hidden="false" customHeight="false" outlineLevel="0" collapsed="false">
      <c r="A226" s="11" t="s">
        <v>936</v>
      </c>
      <c r="B226" s="11" t="s">
        <v>106</v>
      </c>
      <c r="C226" s="11" t="s">
        <v>916</v>
      </c>
      <c r="D226" s="11" t="s">
        <v>640</v>
      </c>
      <c r="E226" s="11" t="s">
        <v>630</v>
      </c>
      <c r="F226" s="11"/>
      <c r="G226" s="11" t="s">
        <v>937</v>
      </c>
    </row>
    <row r="227" customFormat="false" ht="15" hidden="false" customHeight="false" outlineLevel="0" collapsed="false">
      <c r="A227" s="11" t="s">
        <v>938</v>
      </c>
      <c r="B227" s="11" t="s">
        <v>106</v>
      </c>
      <c r="C227" s="11" t="s">
        <v>916</v>
      </c>
      <c r="D227" s="11" t="s">
        <v>640</v>
      </c>
      <c r="E227" s="11" t="s">
        <v>630</v>
      </c>
      <c r="F227" s="11"/>
      <c r="G227" s="11" t="s">
        <v>939</v>
      </c>
    </row>
    <row r="228" customFormat="false" ht="15" hidden="false" customHeight="false" outlineLevel="0" collapsed="false">
      <c r="A228" s="11" t="s">
        <v>940</v>
      </c>
      <c r="B228" s="11" t="s">
        <v>106</v>
      </c>
      <c r="C228" s="11" t="s">
        <v>916</v>
      </c>
      <c r="D228" s="11" t="s">
        <v>640</v>
      </c>
      <c r="E228" s="11" t="s">
        <v>630</v>
      </c>
      <c r="F228" s="11"/>
      <c r="G228" s="11" t="s">
        <v>939</v>
      </c>
    </row>
    <row r="229" customFormat="false" ht="15" hidden="false" customHeight="false" outlineLevel="0" collapsed="false">
      <c r="A229" s="11" t="s">
        <v>941</v>
      </c>
      <c r="B229" s="11" t="s">
        <v>106</v>
      </c>
      <c r="C229" s="11" t="s">
        <v>916</v>
      </c>
      <c r="D229" s="11" t="s">
        <v>640</v>
      </c>
      <c r="E229" s="11" t="s">
        <v>630</v>
      </c>
      <c r="F229" s="11"/>
      <c r="G229" s="11" t="s">
        <v>942</v>
      </c>
    </row>
    <row r="230" customFormat="false" ht="15" hidden="false" customHeight="false" outlineLevel="0" collapsed="false">
      <c r="A230" s="11" t="s">
        <v>943</v>
      </c>
      <c r="B230" s="11" t="s">
        <v>106</v>
      </c>
      <c r="C230" s="11" t="s">
        <v>916</v>
      </c>
      <c r="D230" s="11" t="s">
        <v>640</v>
      </c>
      <c r="E230" s="11" t="s">
        <v>630</v>
      </c>
      <c r="F230" s="11"/>
      <c r="G230" s="11" t="s">
        <v>306</v>
      </c>
    </row>
    <row r="231" customFormat="false" ht="15" hidden="false" customHeight="false" outlineLevel="0" collapsed="false">
      <c r="A231" s="11" t="s">
        <v>944</v>
      </c>
      <c r="B231" s="11" t="s">
        <v>106</v>
      </c>
      <c r="C231" s="11" t="s">
        <v>916</v>
      </c>
      <c r="D231" s="11" t="s">
        <v>640</v>
      </c>
      <c r="E231" s="11" t="s">
        <v>630</v>
      </c>
      <c r="F231" s="11"/>
      <c r="G231" s="11" t="s">
        <v>945</v>
      </c>
    </row>
    <row r="232" customFormat="false" ht="15" hidden="false" customHeight="false" outlineLevel="0" collapsed="false">
      <c r="A232" s="11" t="s">
        <v>946</v>
      </c>
      <c r="B232" s="11" t="s">
        <v>106</v>
      </c>
      <c r="C232" s="11" t="s">
        <v>916</v>
      </c>
      <c r="D232" s="11" t="s">
        <v>640</v>
      </c>
      <c r="E232" s="11" t="s">
        <v>630</v>
      </c>
      <c r="F232" s="11"/>
      <c r="G232" s="11" t="s">
        <v>947</v>
      </c>
    </row>
    <row r="233" customFormat="false" ht="15" hidden="false" customHeight="false" outlineLevel="0" collapsed="false">
      <c r="A233" s="11" t="s">
        <v>948</v>
      </c>
      <c r="B233" s="11" t="s">
        <v>106</v>
      </c>
      <c r="C233" s="11" t="s">
        <v>916</v>
      </c>
      <c r="D233" s="11" t="s">
        <v>640</v>
      </c>
      <c r="E233" s="11" t="s">
        <v>630</v>
      </c>
      <c r="F233" s="11"/>
      <c r="G233" s="11" t="s">
        <v>949</v>
      </c>
    </row>
    <row r="234" customFormat="false" ht="15" hidden="false" customHeight="false" outlineLevel="0" collapsed="false">
      <c r="A234" s="11" t="s">
        <v>950</v>
      </c>
      <c r="B234" s="11" t="s">
        <v>106</v>
      </c>
      <c r="C234" s="11" t="s">
        <v>916</v>
      </c>
      <c r="D234" s="11" t="s">
        <v>640</v>
      </c>
      <c r="E234" s="11" t="s">
        <v>630</v>
      </c>
      <c r="F234" s="11"/>
      <c r="G234" s="11" t="s">
        <v>951</v>
      </c>
    </row>
    <row r="235" customFormat="false" ht="15" hidden="false" customHeight="false" outlineLevel="0" collapsed="false">
      <c r="A235" s="11" t="s">
        <v>952</v>
      </c>
      <c r="B235" s="11" t="s">
        <v>106</v>
      </c>
      <c r="C235" s="11" t="s">
        <v>916</v>
      </c>
      <c r="D235" s="11" t="s">
        <v>640</v>
      </c>
      <c r="E235" s="11" t="s">
        <v>630</v>
      </c>
      <c r="F235" s="11"/>
      <c r="G235" s="11" t="s">
        <v>953</v>
      </c>
    </row>
    <row r="236" customFormat="false" ht="15" hidden="false" customHeight="false" outlineLevel="0" collapsed="false">
      <c r="A236" s="11" t="s">
        <v>954</v>
      </c>
      <c r="B236" s="11" t="s">
        <v>106</v>
      </c>
      <c r="C236" s="11" t="s">
        <v>916</v>
      </c>
      <c r="D236" s="11" t="s">
        <v>640</v>
      </c>
      <c r="E236" s="11" t="s">
        <v>630</v>
      </c>
      <c r="F236" s="11"/>
      <c r="G236" s="11" t="s">
        <v>955</v>
      </c>
    </row>
    <row r="237" customFormat="false" ht="15" hidden="false" customHeight="false" outlineLevel="0" collapsed="false">
      <c r="A237" s="11" t="s">
        <v>956</v>
      </c>
      <c r="B237" s="11" t="s">
        <v>106</v>
      </c>
      <c r="C237" s="11" t="s">
        <v>916</v>
      </c>
      <c r="D237" s="11" t="s">
        <v>640</v>
      </c>
      <c r="E237" s="11" t="s">
        <v>630</v>
      </c>
      <c r="F237" s="11"/>
      <c r="G237" s="11" t="s">
        <v>957</v>
      </c>
    </row>
    <row r="238" customFormat="false" ht="15" hidden="false" customHeight="false" outlineLevel="0" collapsed="false">
      <c r="A238" s="11" t="s">
        <v>958</v>
      </c>
      <c r="B238" s="11" t="s">
        <v>106</v>
      </c>
      <c r="C238" s="11" t="s">
        <v>916</v>
      </c>
      <c r="D238" s="11" t="s">
        <v>640</v>
      </c>
      <c r="E238" s="11" t="s">
        <v>630</v>
      </c>
      <c r="F238" s="11"/>
      <c r="G238" s="11" t="s">
        <v>959</v>
      </c>
    </row>
    <row r="239" customFormat="false" ht="15" hidden="false" customHeight="false" outlineLevel="0" collapsed="false">
      <c r="A239" s="11" t="s">
        <v>960</v>
      </c>
      <c r="B239" s="11" t="s">
        <v>106</v>
      </c>
      <c r="C239" s="11" t="s">
        <v>916</v>
      </c>
      <c r="D239" s="11" t="s">
        <v>640</v>
      </c>
      <c r="E239" s="11" t="s">
        <v>630</v>
      </c>
      <c r="F239" s="11"/>
      <c r="G239" s="11" t="s">
        <v>961</v>
      </c>
    </row>
    <row r="240" customFormat="false" ht="15" hidden="false" customHeight="false" outlineLevel="0" collapsed="false">
      <c r="A240" s="11" t="s">
        <v>962</v>
      </c>
      <c r="B240" s="11" t="s">
        <v>106</v>
      </c>
      <c r="C240" s="11" t="s">
        <v>916</v>
      </c>
      <c r="D240" s="11" t="s">
        <v>640</v>
      </c>
      <c r="E240" s="11" t="s">
        <v>630</v>
      </c>
      <c r="F240" s="11"/>
      <c r="G240" s="11" t="s">
        <v>963</v>
      </c>
    </row>
    <row r="241" customFormat="false" ht="15" hidden="false" customHeight="false" outlineLevel="0" collapsed="false">
      <c r="A241" s="11" t="s">
        <v>964</v>
      </c>
      <c r="B241" s="11" t="s">
        <v>106</v>
      </c>
      <c r="C241" s="11" t="s">
        <v>916</v>
      </c>
      <c r="D241" s="11" t="s">
        <v>640</v>
      </c>
      <c r="E241" s="11" t="s">
        <v>630</v>
      </c>
      <c r="F241" s="11"/>
      <c r="G241" s="11" t="s">
        <v>965</v>
      </c>
    </row>
    <row r="242" customFormat="false" ht="15" hidden="false" customHeight="false" outlineLevel="0" collapsed="false">
      <c r="A242" s="11" t="s">
        <v>966</v>
      </c>
      <c r="B242" s="11" t="s">
        <v>106</v>
      </c>
      <c r="C242" s="11" t="s">
        <v>916</v>
      </c>
      <c r="D242" s="11" t="s">
        <v>640</v>
      </c>
      <c r="E242" s="11" t="s">
        <v>630</v>
      </c>
      <c r="F242" s="11"/>
      <c r="G242" s="11" t="s">
        <v>967</v>
      </c>
    </row>
    <row r="243" customFormat="false" ht="15" hidden="false" customHeight="false" outlineLevel="0" collapsed="false">
      <c r="A243" s="11" t="s">
        <v>968</v>
      </c>
      <c r="B243" s="11" t="s">
        <v>106</v>
      </c>
      <c r="C243" s="11" t="s">
        <v>969</v>
      </c>
      <c r="D243" s="11" t="s">
        <v>970</v>
      </c>
      <c r="E243" s="11" t="s">
        <v>630</v>
      </c>
      <c r="F243" s="11"/>
      <c r="G243" s="11" t="s">
        <v>971</v>
      </c>
    </row>
    <row r="244" customFormat="false" ht="15" hidden="false" customHeight="false" outlineLevel="0" collapsed="false">
      <c r="A244" s="11" t="s">
        <v>972</v>
      </c>
      <c r="B244" s="11" t="s">
        <v>106</v>
      </c>
      <c r="C244" s="11" t="s">
        <v>969</v>
      </c>
      <c r="D244" s="11" t="s">
        <v>970</v>
      </c>
      <c r="E244" s="11" t="s">
        <v>630</v>
      </c>
      <c r="F244" s="11"/>
      <c r="G244" s="11" t="s">
        <v>973</v>
      </c>
    </row>
    <row r="245" customFormat="false" ht="15" hidden="false" customHeight="false" outlineLevel="0" collapsed="false">
      <c r="A245" s="11" t="s">
        <v>974</v>
      </c>
      <c r="B245" s="11" t="s">
        <v>106</v>
      </c>
      <c r="C245" s="11" t="s">
        <v>969</v>
      </c>
      <c r="D245" s="11" t="s">
        <v>970</v>
      </c>
      <c r="E245" s="11" t="s">
        <v>630</v>
      </c>
      <c r="F245" s="11"/>
      <c r="G245" s="11" t="s">
        <v>975</v>
      </c>
    </row>
    <row r="246" customFormat="false" ht="15" hidden="false" customHeight="false" outlineLevel="0" collapsed="false">
      <c r="A246" s="11" t="s">
        <v>976</v>
      </c>
      <c r="B246" s="11" t="s">
        <v>106</v>
      </c>
      <c r="C246" s="11" t="s">
        <v>969</v>
      </c>
      <c r="D246" s="11" t="s">
        <v>970</v>
      </c>
      <c r="E246" s="11" t="s">
        <v>630</v>
      </c>
      <c r="F246" s="11"/>
      <c r="G246" s="11" t="s">
        <v>977</v>
      </c>
    </row>
    <row r="247" customFormat="false" ht="15" hidden="false" customHeight="false" outlineLevel="0" collapsed="false">
      <c r="A247" s="11" t="s">
        <v>978</v>
      </c>
      <c r="B247" s="11" t="s">
        <v>106</v>
      </c>
      <c r="C247" s="11" t="s">
        <v>969</v>
      </c>
      <c r="D247" s="11" t="s">
        <v>970</v>
      </c>
      <c r="E247" s="11" t="s">
        <v>630</v>
      </c>
      <c r="F247" s="11"/>
      <c r="G247" s="11" t="s">
        <v>979</v>
      </c>
    </row>
    <row r="248" customFormat="false" ht="15" hidden="false" customHeight="false" outlineLevel="0" collapsed="false">
      <c r="A248" s="11" t="s">
        <v>980</v>
      </c>
      <c r="B248" s="11" t="s">
        <v>106</v>
      </c>
      <c r="C248" s="11" t="s">
        <v>969</v>
      </c>
      <c r="D248" s="11" t="s">
        <v>970</v>
      </c>
      <c r="E248" s="11" t="s">
        <v>630</v>
      </c>
      <c r="F248" s="11"/>
      <c r="G248" s="11" t="s">
        <v>981</v>
      </c>
    </row>
    <row r="249" customFormat="false" ht="15" hidden="false" customHeight="false" outlineLevel="0" collapsed="false">
      <c r="A249" s="11" t="s">
        <v>982</v>
      </c>
      <c r="B249" s="11" t="s">
        <v>106</v>
      </c>
      <c r="C249" s="11" t="s">
        <v>969</v>
      </c>
      <c r="D249" s="11" t="s">
        <v>970</v>
      </c>
      <c r="E249" s="11" t="s">
        <v>630</v>
      </c>
      <c r="F249" s="11"/>
      <c r="G249" s="11" t="s">
        <v>983</v>
      </c>
    </row>
    <row r="250" customFormat="false" ht="15" hidden="false" customHeight="false" outlineLevel="0" collapsed="false">
      <c r="A250" s="11" t="s">
        <v>984</v>
      </c>
      <c r="B250" s="11" t="s">
        <v>106</v>
      </c>
      <c r="C250" s="11" t="s">
        <v>969</v>
      </c>
      <c r="D250" s="11" t="s">
        <v>970</v>
      </c>
      <c r="E250" s="11" t="s">
        <v>630</v>
      </c>
      <c r="F250" s="11"/>
      <c r="G250" s="11" t="s">
        <v>985</v>
      </c>
    </row>
    <row r="251" customFormat="false" ht="15" hidden="false" customHeight="false" outlineLevel="0" collapsed="false">
      <c r="A251" s="11" t="s">
        <v>986</v>
      </c>
      <c r="B251" s="11" t="s">
        <v>106</v>
      </c>
      <c r="C251" s="11" t="s">
        <v>969</v>
      </c>
      <c r="D251" s="11" t="s">
        <v>970</v>
      </c>
      <c r="E251" s="11" t="s">
        <v>630</v>
      </c>
      <c r="F251" s="11"/>
      <c r="G251" s="11" t="s">
        <v>987</v>
      </c>
    </row>
    <row r="252" customFormat="false" ht="15" hidden="false" customHeight="false" outlineLevel="0" collapsed="false">
      <c r="A252" s="11" t="s">
        <v>988</v>
      </c>
      <c r="B252" s="11" t="s">
        <v>106</v>
      </c>
      <c r="C252" s="11" t="s">
        <v>969</v>
      </c>
      <c r="D252" s="11" t="s">
        <v>970</v>
      </c>
      <c r="E252" s="11" t="s">
        <v>630</v>
      </c>
      <c r="F252" s="11"/>
      <c r="G252" s="11" t="s">
        <v>989</v>
      </c>
    </row>
    <row r="253" customFormat="false" ht="15" hidden="false" customHeight="false" outlineLevel="0" collapsed="false">
      <c r="A253" s="11" t="s">
        <v>990</v>
      </c>
      <c r="B253" s="11" t="s">
        <v>106</v>
      </c>
      <c r="C253" s="11" t="s">
        <v>969</v>
      </c>
      <c r="D253" s="11" t="s">
        <v>970</v>
      </c>
      <c r="E253" s="11" t="s">
        <v>630</v>
      </c>
      <c r="F253" s="11"/>
      <c r="G253" s="11" t="s">
        <v>991</v>
      </c>
    </row>
    <row r="254" customFormat="false" ht="15" hidden="false" customHeight="false" outlineLevel="0" collapsed="false">
      <c r="A254" s="11" t="s">
        <v>992</v>
      </c>
      <c r="B254" s="11" t="s">
        <v>106</v>
      </c>
      <c r="C254" s="11" t="s">
        <v>969</v>
      </c>
      <c r="D254" s="11" t="s">
        <v>970</v>
      </c>
      <c r="E254" s="11" t="s">
        <v>630</v>
      </c>
      <c r="F254" s="11"/>
      <c r="G254" s="11" t="s">
        <v>942</v>
      </c>
    </row>
    <row r="255" customFormat="false" ht="15" hidden="false" customHeight="false" outlineLevel="0" collapsed="false">
      <c r="A255" s="11" t="s">
        <v>993</v>
      </c>
      <c r="B255" s="11" t="s">
        <v>106</v>
      </c>
      <c r="C255" s="11" t="s">
        <v>969</v>
      </c>
      <c r="D255" s="11" t="s">
        <v>970</v>
      </c>
      <c r="E255" s="11" t="s">
        <v>630</v>
      </c>
      <c r="F255" s="11"/>
      <c r="G255" s="11" t="s">
        <v>994</v>
      </c>
    </row>
    <row r="256" customFormat="false" ht="15" hidden="false" customHeight="false" outlineLevel="0" collapsed="false">
      <c r="A256" s="11" t="s">
        <v>995</v>
      </c>
      <c r="B256" s="11" t="s">
        <v>106</v>
      </c>
      <c r="C256" s="11" t="s">
        <v>969</v>
      </c>
      <c r="D256" s="11" t="s">
        <v>970</v>
      </c>
      <c r="E256" s="11" t="s">
        <v>630</v>
      </c>
      <c r="F256" s="11"/>
      <c r="G256" s="11" t="s">
        <v>996</v>
      </c>
    </row>
    <row r="257" customFormat="false" ht="15" hidden="false" customHeight="false" outlineLevel="0" collapsed="false">
      <c r="A257" s="11" t="s">
        <v>997</v>
      </c>
      <c r="B257" s="11" t="s">
        <v>106</v>
      </c>
      <c r="C257" s="11" t="s">
        <v>969</v>
      </c>
      <c r="D257" s="11" t="s">
        <v>970</v>
      </c>
      <c r="E257" s="11" t="s">
        <v>630</v>
      </c>
      <c r="F257" s="11"/>
      <c r="G257" s="11" t="s">
        <v>998</v>
      </c>
    </row>
    <row r="258" customFormat="false" ht="15" hidden="false" customHeight="false" outlineLevel="0" collapsed="false">
      <c r="A258" s="11" t="s">
        <v>999</v>
      </c>
      <c r="B258" s="11" t="s">
        <v>106</v>
      </c>
      <c r="C258" s="11" t="s">
        <v>969</v>
      </c>
      <c r="D258" s="11" t="s">
        <v>970</v>
      </c>
      <c r="E258" s="11" t="s">
        <v>630</v>
      </c>
      <c r="F258" s="11"/>
      <c r="G258" s="11" t="s">
        <v>1000</v>
      </c>
    </row>
    <row r="259" customFormat="false" ht="15" hidden="false" customHeight="false" outlineLevel="0" collapsed="false">
      <c r="A259" s="11" t="s">
        <v>1001</v>
      </c>
      <c r="B259" s="11" t="s">
        <v>106</v>
      </c>
      <c r="C259" s="11" t="s">
        <v>969</v>
      </c>
      <c r="D259" s="11" t="s">
        <v>970</v>
      </c>
      <c r="E259" s="11" t="s">
        <v>630</v>
      </c>
      <c r="F259" s="11"/>
      <c r="G259" s="11" t="s">
        <v>1002</v>
      </c>
    </row>
    <row r="260" customFormat="false" ht="15" hidden="false" customHeight="false" outlineLevel="0" collapsed="false">
      <c r="A260" s="11" t="s">
        <v>1003</v>
      </c>
      <c r="B260" s="11" t="s">
        <v>106</v>
      </c>
      <c r="C260" s="11" t="s">
        <v>969</v>
      </c>
      <c r="D260" s="11" t="s">
        <v>970</v>
      </c>
      <c r="E260" s="11" t="s">
        <v>630</v>
      </c>
      <c r="F260" s="11"/>
      <c r="G260" s="11" t="s">
        <v>622</v>
      </c>
    </row>
    <row r="261" customFormat="false" ht="15" hidden="false" customHeight="false" outlineLevel="0" collapsed="false">
      <c r="A261" s="11" t="s">
        <v>1004</v>
      </c>
      <c r="B261" s="11" t="s">
        <v>106</v>
      </c>
      <c r="C261" s="11" t="s">
        <v>969</v>
      </c>
      <c r="D261" s="11" t="s">
        <v>970</v>
      </c>
      <c r="E261" s="11" t="s">
        <v>630</v>
      </c>
      <c r="F261" s="11"/>
      <c r="G261" s="11" t="s">
        <v>921</v>
      </c>
    </row>
    <row r="262" customFormat="false" ht="15" hidden="false" customHeight="false" outlineLevel="0" collapsed="false">
      <c r="A262" s="11" t="s">
        <v>1005</v>
      </c>
      <c r="B262" s="11" t="s">
        <v>106</v>
      </c>
      <c r="C262" s="11" t="s">
        <v>969</v>
      </c>
      <c r="D262" s="11" t="s">
        <v>970</v>
      </c>
      <c r="E262" s="11" t="s">
        <v>630</v>
      </c>
      <c r="F262" s="11"/>
      <c r="G262" s="11" t="s">
        <v>923</v>
      </c>
    </row>
    <row r="263" customFormat="false" ht="15" hidden="false" customHeight="false" outlineLevel="0" collapsed="false">
      <c r="A263" s="11" t="s">
        <v>1006</v>
      </c>
      <c r="B263" s="11" t="s">
        <v>106</v>
      </c>
      <c r="C263" s="11" t="s">
        <v>969</v>
      </c>
      <c r="D263" s="11" t="s">
        <v>970</v>
      </c>
      <c r="E263" s="11" t="s">
        <v>630</v>
      </c>
      <c r="F263" s="11"/>
      <c r="G263" s="11" t="s">
        <v>925</v>
      </c>
    </row>
    <row r="264" customFormat="false" ht="15" hidden="false" customHeight="false" outlineLevel="0" collapsed="false">
      <c r="A264" s="11" t="s">
        <v>1007</v>
      </c>
      <c r="B264" s="11" t="s">
        <v>106</v>
      </c>
      <c r="C264" s="11" t="s">
        <v>969</v>
      </c>
      <c r="D264" s="11" t="s">
        <v>970</v>
      </c>
      <c r="E264" s="11" t="s">
        <v>630</v>
      </c>
      <c r="F264" s="11"/>
      <c r="G264" s="11" t="s">
        <v>1008</v>
      </c>
    </row>
    <row r="265" customFormat="false" ht="15" hidden="false" customHeight="false" outlineLevel="0" collapsed="false">
      <c r="A265" s="11" t="s">
        <v>1009</v>
      </c>
      <c r="B265" s="11" t="s">
        <v>106</v>
      </c>
      <c r="C265" s="11" t="s">
        <v>969</v>
      </c>
      <c r="D265" s="11" t="s">
        <v>970</v>
      </c>
      <c r="E265" s="11" t="s">
        <v>630</v>
      </c>
      <c r="F265" s="11"/>
      <c r="G265" s="11" t="s">
        <v>1010</v>
      </c>
    </row>
    <row r="266" customFormat="false" ht="15" hidden="false" customHeight="false" outlineLevel="0" collapsed="false">
      <c r="A266" s="11" t="s">
        <v>1011</v>
      </c>
      <c r="B266" s="11" t="s">
        <v>106</v>
      </c>
      <c r="C266" s="11" t="s">
        <v>969</v>
      </c>
      <c r="D266" s="11" t="s">
        <v>970</v>
      </c>
      <c r="E266" s="11" t="s">
        <v>630</v>
      </c>
      <c r="F266" s="11"/>
      <c r="G266" s="11" t="s">
        <v>711</v>
      </c>
    </row>
    <row r="267" customFormat="false" ht="15" hidden="false" customHeight="false" outlineLevel="0" collapsed="false">
      <c r="A267" s="11" t="s">
        <v>1012</v>
      </c>
      <c r="B267" s="11" t="s">
        <v>106</v>
      </c>
      <c r="C267" s="11" t="s">
        <v>969</v>
      </c>
      <c r="D267" s="11" t="s">
        <v>970</v>
      </c>
      <c r="E267" s="11" t="s">
        <v>630</v>
      </c>
      <c r="F267" s="11"/>
      <c r="G267" s="11" t="s">
        <v>1013</v>
      </c>
    </row>
  </sheetData>
  <autoFilter ref="A4:G26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3" t="s">
        <v>1014</v>
      </c>
    </row>
    <row r="2" customFormat="false" ht="15" hidden="false" customHeight="false" outlineLevel="0" collapsed="false">
      <c r="A2" s="11" t="s">
        <v>1015</v>
      </c>
    </row>
    <row r="4" customFormat="false" ht="15" hidden="false" customHeight="false" outlineLevel="0" collapsed="false">
      <c r="A4" s="12" t="s">
        <v>1016</v>
      </c>
      <c r="B4" s="12" t="s">
        <v>1017</v>
      </c>
    </row>
    <row r="5" customFormat="false" ht="15" hidden="false" customHeight="false" outlineLevel="0" collapsed="false">
      <c r="A5" s="14" t="s">
        <v>0</v>
      </c>
      <c r="B5" s="15" t="s">
        <v>1018</v>
      </c>
    </row>
    <row r="6" customFormat="false" ht="15" hidden="false" customHeight="false" outlineLevel="0" collapsed="false">
      <c r="A6" s="14" t="s">
        <v>1</v>
      </c>
      <c r="B6" s="15" t="s">
        <v>1019</v>
      </c>
    </row>
    <row r="7" customFormat="false" ht="23.85" hidden="false" customHeight="false" outlineLevel="0" collapsed="false">
      <c r="A7" s="14" t="s">
        <v>2</v>
      </c>
      <c r="B7" s="15" t="s">
        <v>1020</v>
      </c>
    </row>
    <row r="8" customFormat="false" ht="15" hidden="false" customHeight="false" outlineLevel="0" collapsed="false">
      <c r="A8" s="14" t="s">
        <v>3</v>
      </c>
      <c r="B8" s="15" t="s">
        <v>1021</v>
      </c>
    </row>
    <row r="9" customFormat="false" ht="15" hidden="false" customHeight="false" outlineLevel="0" collapsed="false">
      <c r="A9" s="14" t="s">
        <v>4</v>
      </c>
      <c r="B9" s="15" t="s">
        <v>1022</v>
      </c>
    </row>
    <row r="10" customFormat="false" ht="15" hidden="false" customHeight="false" outlineLevel="0" collapsed="false">
      <c r="A10" s="14" t="s">
        <v>5</v>
      </c>
      <c r="B10" s="15" t="s">
        <v>1023</v>
      </c>
    </row>
    <row r="11" customFormat="false" ht="15" hidden="false" customHeight="false" outlineLevel="0" collapsed="false">
      <c r="A11" s="14" t="s">
        <v>6</v>
      </c>
      <c r="B11" s="15" t="s">
        <v>1024</v>
      </c>
    </row>
    <row r="12" customFormat="false" ht="23.85" hidden="false" customHeight="false" outlineLevel="0" collapsed="false">
      <c r="A12" s="14" t="s">
        <v>7</v>
      </c>
      <c r="B12" s="15" t="s">
        <v>1025</v>
      </c>
    </row>
    <row r="13" customFormat="false" ht="15" hidden="false" customHeight="false" outlineLevel="0" collapsed="false">
      <c r="A13" s="14" t="s">
        <v>1026</v>
      </c>
      <c r="B13" s="15" t="s">
        <v>1027</v>
      </c>
    </row>
    <row r="14" customFormat="false" ht="15" hidden="false" customHeight="false" outlineLevel="0" collapsed="false">
      <c r="A14" s="14" t="s">
        <v>10</v>
      </c>
      <c r="B14" s="15" t="s">
        <v>1028</v>
      </c>
    </row>
    <row r="15" customFormat="false" ht="15" hidden="false" customHeight="false" outlineLevel="0" collapsed="false">
      <c r="A15" s="14" t="s">
        <v>11</v>
      </c>
      <c r="B15" s="15" t="s">
        <v>1029</v>
      </c>
    </row>
    <row r="16" customFormat="false" ht="15" hidden="false" customHeight="false" outlineLevel="0" collapsed="false">
      <c r="A16" s="14" t="s">
        <v>12</v>
      </c>
      <c r="B16" s="15" t="s">
        <v>1030</v>
      </c>
    </row>
    <row r="17" customFormat="false" ht="15" hidden="false" customHeight="false" outlineLevel="0" collapsed="false">
      <c r="A17" s="14" t="s">
        <v>13</v>
      </c>
      <c r="B17" s="15" t="s">
        <v>1031</v>
      </c>
    </row>
    <row r="18" customFormat="false" ht="15" hidden="false" customHeight="false" outlineLevel="0" collapsed="false">
      <c r="A18" s="14" t="s">
        <v>14</v>
      </c>
      <c r="B18" s="15" t="s">
        <v>1032</v>
      </c>
    </row>
    <row r="19" customFormat="false" ht="15" hidden="false" customHeight="false" outlineLevel="0" collapsed="false">
      <c r="A19" s="14" t="s">
        <v>15</v>
      </c>
      <c r="B19" s="15" t="s">
        <v>1033</v>
      </c>
    </row>
    <row r="20" customFormat="false" ht="15" hidden="false" customHeight="false" outlineLevel="0" collapsed="false">
      <c r="A20" s="14" t="s">
        <v>16</v>
      </c>
      <c r="B20" s="15" t="s">
        <v>1034</v>
      </c>
    </row>
    <row r="21" customFormat="false" ht="15" hidden="false" customHeight="false" outlineLevel="0" collapsed="false">
      <c r="A21" s="14" t="s">
        <v>17</v>
      </c>
      <c r="B21" s="15" t="s">
        <v>1035</v>
      </c>
    </row>
    <row r="22" customFormat="false" ht="15" hidden="false" customHeight="false" outlineLevel="0" collapsed="false">
      <c r="A22" s="14" t="s">
        <v>18</v>
      </c>
      <c r="B22" s="15" t="s">
        <v>1036</v>
      </c>
    </row>
    <row r="23" customFormat="false" ht="15" hidden="false" customHeight="false" outlineLevel="0" collapsed="false">
      <c r="A23" s="14" t="s">
        <v>19</v>
      </c>
      <c r="B23" s="15" t="s">
        <v>1037</v>
      </c>
    </row>
    <row r="24" customFormat="false" ht="15" hidden="false" customHeight="false" outlineLevel="0" collapsed="false">
      <c r="A24" s="14" t="s">
        <v>20</v>
      </c>
      <c r="B24" s="15" t="s">
        <v>1038</v>
      </c>
    </row>
    <row r="26" customFormat="false" ht="15" hidden="false" customHeight="false" outlineLevel="0" collapsed="false">
      <c r="A26" s="10" t="s">
        <v>1039</v>
      </c>
    </row>
    <row r="27" customFormat="false" ht="15" hidden="false" customHeight="false" outlineLevel="0" collapsed="false">
      <c r="A27" s="11" t="s">
        <v>1</v>
      </c>
      <c r="B27" s="16" t="s">
        <v>60</v>
      </c>
    </row>
    <row r="28" customFormat="false" ht="15" hidden="false" customHeight="false" outlineLevel="0" collapsed="false">
      <c r="A28" s="11" t="s">
        <v>5</v>
      </c>
      <c r="B28" s="16" t="s">
        <v>26</v>
      </c>
    </row>
    <row r="29" customFormat="false" ht="15" hidden="false" customHeight="false" outlineLevel="0" collapsed="false">
      <c r="A29" s="11" t="s">
        <v>6</v>
      </c>
      <c r="B29" s="16" t="s">
        <v>27</v>
      </c>
    </row>
    <row r="30" customFormat="false" ht="15" hidden="false" customHeight="false" outlineLevel="0" collapsed="false">
      <c r="A30" s="11" t="s">
        <v>7</v>
      </c>
      <c r="B30" s="16" t="s">
        <v>1040</v>
      </c>
    </row>
    <row r="31" customFormat="false" ht="15" hidden="false" customHeight="false" outlineLevel="0" collapsed="false">
      <c r="A31" s="11" t="s">
        <v>10</v>
      </c>
      <c r="B31" s="16" t="s">
        <v>1041</v>
      </c>
    </row>
    <row r="32" customFormat="false" ht="15" hidden="false" customHeight="false" outlineLevel="0" collapsed="false">
      <c r="A32" s="11" t="s">
        <v>14</v>
      </c>
      <c r="B32" s="16" t="s">
        <v>1042</v>
      </c>
    </row>
    <row r="33" customFormat="false" ht="15" hidden="false" customHeight="false" outlineLevel="0" collapsed="false">
      <c r="B33" s="17" t="s">
        <v>1043</v>
      </c>
    </row>
    <row r="35" customFormat="false" ht="15" hidden="false" customHeight="false" outlineLevel="0" collapsed="false">
      <c r="A35" s="10" t="s">
        <v>1044</v>
      </c>
    </row>
    <row r="36" customFormat="false" ht="23.85" hidden="false" customHeight="false" outlineLevel="0" collapsed="false">
      <c r="B36" s="18" t="s">
        <v>1045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05"/>
  </cols>
  <sheetData>
    <row r="1" customFormat="false" ht="17.35" hidden="false" customHeight="false" outlineLevel="0" collapsed="false">
      <c r="A1" s="13" t="s">
        <v>1046</v>
      </c>
    </row>
    <row r="3" customFormat="false" ht="35.05" hidden="false" customHeight="false" outlineLevel="0" collapsed="false">
      <c r="A3" s="11" t="n">
        <v>1</v>
      </c>
      <c r="B3" s="19" t="s">
        <v>1047</v>
      </c>
      <c r="C3" s="15" t="s">
        <v>1048</v>
      </c>
    </row>
    <row r="4" customFormat="false" ht="23.85" hidden="false" customHeight="false" outlineLevel="0" collapsed="false">
      <c r="A4" s="11" t="n">
        <v>2</v>
      </c>
      <c r="B4" s="19" t="s">
        <v>1049</v>
      </c>
      <c r="C4" s="15" t="s">
        <v>1050</v>
      </c>
    </row>
    <row r="5" customFormat="false" ht="23.85" hidden="false" customHeight="false" outlineLevel="0" collapsed="false">
      <c r="A5" s="11" t="n">
        <v>3</v>
      </c>
      <c r="B5" s="19" t="s">
        <v>1051</v>
      </c>
      <c r="C5" s="15" t="s">
        <v>1052</v>
      </c>
    </row>
    <row r="6" customFormat="false" ht="23.85" hidden="false" customHeight="false" outlineLevel="0" collapsed="false">
      <c r="A6" s="11" t="n">
        <v>4</v>
      </c>
      <c r="B6" s="19" t="s">
        <v>495</v>
      </c>
      <c r="C6" s="15" t="s">
        <v>1053</v>
      </c>
    </row>
    <row r="7" customFormat="false" ht="15" hidden="false" customHeight="false" outlineLevel="0" collapsed="false">
      <c r="A7" s="11" t="n">
        <v>5</v>
      </c>
      <c r="B7" s="19" t="s">
        <v>1054</v>
      </c>
      <c r="C7" s="15" t="s">
        <v>1055</v>
      </c>
    </row>
    <row r="8" customFormat="false" ht="23.85" hidden="false" customHeight="false" outlineLevel="0" collapsed="false">
      <c r="A8" s="11" t="n">
        <v>6</v>
      </c>
      <c r="B8" s="19" t="s">
        <v>1056</v>
      </c>
      <c r="C8" s="15" t="s">
        <v>1057</v>
      </c>
    </row>
    <row r="9" customFormat="false" ht="35.05" hidden="false" customHeight="false" outlineLevel="0" collapsed="false">
      <c r="A9" s="11" t="n">
        <v>7</v>
      </c>
      <c r="B9" s="19" t="s">
        <v>1058</v>
      </c>
      <c r="C9" s="15" t="s">
        <v>1059</v>
      </c>
    </row>
    <row r="10" customFormat="false" ht="23.85" hidden="false" customHeight="false" outlineLevel="0" collapsed="false">
      <c r="A10" s="11" t="n">
        <v>8</v>
      </c>
      <c r="B10" s="19" t="s">
        <v>1060</v>
      </c>
      <c r="C10" s="15" t="s">
        <v>1061</v>
      </c>
    </row>
    <row r="11" customFormat="false" ht="35.05" hidden="false" customHeight="false" outlineLevel="0" collapsed="false">
      <c r="A11" s="11" t="n">
        <v>9</v>
      </c>
      <c r="B11" s="19" t="s">
        <v>1062</v>
      </c>
      <c r="C11" s="15" t="s">
        <v>1063</v>
      </c>
    </row>
    <row r="12" customFormat="false" ht="15" hidden="false" customHeight="false" outlineLevel="0" collapsed="false">
      <c r="A12" s="11" t="n">
        <v>10</v>
      </c>
      <c r="B12" s="19" t="s">
        <v>1064</v>
      </c>
      <c r="C12" s="15" t="s">
        <v>1065</v>
      </c>
    </row>
    <row r="13" customFormat="false" ht="23.85" hidden="false" customHeight="false" outlineLevel="0" collapsed="false">
      <c r="A13" s="11" t="n">
        <v>11</v>
      </c>
      <c r="B13" s="19" t="s">
        <v>1066</v>
      </c>
      <c r="C13" s="15" t="s">
        <v>1067</v>
      </c>
    </row>
    <row r="14" customFormat="false" ht="23.85" hidden="false" customHeight="false" outlineLevel="0" collapsed="false">
      <c r="A14" s="11" t="n">
        <v>12</v>
      </c>
      <c r="B14" s="19" t="s">
        <v>1068</v>
      </c>
      <c r="C14" s="15" t="s">
        <v>1069</v>
      </c>
    </row>
    <row r="15" customFormat="false" ht="15" hidden="false" customHeight="false" outlineLevel="0" collapsed="false">
      <c r="A15" s="11" t="n">
        <v>13</v>
      </c>
      <c r="B15" s="19" t="s">
        <v>1070</v>
      </c>
      <c r="C15" s="15" t="s">
        <v>1071</v>
      </c>
    </row>
    <row r="16" customFormat="false" ht="23.85" hidden="false" customHeight="false" outlineLevel="0" collapsed="false">
      <c r="A16" s="11" t="n">
        <v>14</v>
      </c>
      <c r="B16" s="19" t="s">
        <v>1072</v>
      </c>
      <c r="C16" s="15" t="s">
        <v>1073</v>
      </c>
    </row>
    <row r="17" customFormat="false" ht="15" hidden="false" customHeight="false" outlineLevel="0" collapsed="false">
      <c r="A17" s="11" t="n">
        <v>15</v>
      </c>
      <c r="B17" s="19" t="s">
        <v>1074</v>
      </c>
      <c r="C17" s="15" t="s">
        <v>1075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5" min="3" style="0" width="14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3" t="s">
        <v>1076</v>
      </c>
    </row>
    <row r="3" customFormat="false" ht="15" hidden="false" customHeight="false" outlineLevel="0" collapsed="false">
      <c r="A3" s="12" t="s">
        <v>1077</v>
      </c>
      <c r="B3" s="12" t="s">
        <v>1078</v>
      </c>
      <c r="C3" s="12" t="s">
        <v>1079</v>
      </c>
      <c r="D3" s="12" t="s">
        <v>1080</v>
      </c>
      <c r="E3" s="12" t="s">
        <v>1081</v>
      </c>
      <c r="F3" s="12" t="s">
        <v>1082</v>
      </c>
    </row>
    <row r="4" customFormat="false" ht="15" hidden="false" customHeight="false" outlineLevel="0" collapsed="false">
      <c r="A4" s="11" t="s">
        <v>23</v>
      </c>
      <c r="B4" s="11" t="n">
        <f aca="false">COUNTIF(Produtos!$C$2:$C$2000,A4)</f>
        <v>39</v>
      </c>
      <c r="C4" s="11" t="n">
        <f aca="false">COUNTIFS(Produtos!$C$2:$C$2000,A4,Produtos!$H$2:$H$2000,"&gt;0")</f>
        <v>39</v>
      </c>
      <c r="D4" s="11" t="n">
        <f aca="false">COUNTIFS(Produtos!$C$2:$C$2000,A4,Produtos!$R$2:$R$2000,"Conferir")</f>
        <v>1</v>
      </c>
      <c r="E4" s="11" t="n">
        <f aca="false">COUNTIFS(Produtos!$C$2:$C$2000,A4,Produtos!$O$2:$O$2000,TRUE())</f>
        <v>39</v>
      </c>
      <c r="F4" s="11" t="n">
        <f aca="false">COUNTIFS(Produtos!$C$2:$C$2000,A4,Produtos!$T$2:$T$2000,0)</f>
        <v>10</v>
      </c>
    </row>
    <row r="5" customFormat="false" ht="15" hidden="false" customHeight="false" outlineLevel="0" collapsed="false">
      <c r="A5" s="11" t="s">
        <v>199</v>
      </c>
      <c r="B5" s="11" t="n">
        <f aca="false">COUNTIF(Produtos!$C$2:$C$2000,A5)</f>
        <v>9</v>
      </c>
      <c r="C5" s="11" t="n">
        <f aca="false">COUNTIFS(Produtos!$C$2:$C$2000,A5,Produtos!$H$2:$H$2000,"&gt;0")</f>
        <v>9</v>
      </c>
      <c r="D5" s="11" t="n">
        <f aca="false">COUNTIFS(Produtos!$C$2:$C$2000,A5,Produtos!$R$2:$R$2000,"Conferir")</f>
        <v>1</v>
      </c>
      <c r="E5" s="11" t="n">
        <f aca="false">COUNTIFS(Produtos!$C$2:$C$2000,A5,Produtos!$O$2:$O$2000,TRUE())</f>
        <v>9</v>
      </c>
      <c r="F5" s="11" t="n">
        <f aca="false">COUNTIFS(Produtos!$C$2:$C$2000,A5,Produtos!$T$2:$T$2000,0)</f>
        <v>6</v>
      </c>
    </row>
    <row r="6" customFormat="false" ht="15" hidden="false" customHeight="false" outlineLevel="0" collapsed="false">
      <c r="A6" s="11" t="s">
        <v>494</v>
      </c>
      <c r="B6" s="11" t="n">
        <f aca="false">COUNTIF(Produtos!$C$2:$C$2000,A6)</f>
        <v>6</v>
      </c>
      <c r="C6" s="11" t="n">
        <f aca="false">COUNTIFS(Produtos!$C$2:$C$2000,A6,Produtos!$H$2:$H$2000,"&gt;0")</f>
        <v>6</v>
      </c>
      <c r="D6" s="11" t="n">
        <f aca="false">COUNTIFS(Produtos!$C$2:$C$2000,A6,Produtos!$R$2:$R$2000,"Conferir")</f>
        <v>6</v>
      </c>
      <c r="E6" s="11" t="n">
        <f aca="false">COUNTIFS(Produtos!$C$2:$C$2000,A6,Produtos!$O$2:$O$2000,TRUE())</f>
        <v>6</v>
      </c>
      <c r="F6" s="11" t="n">
        <f aca="false">COUNTIFS(Produtos!$C$2:$C$2000,A6,Produtos!$T$2:$T$2000,0)</f>
        <v>4</v>
      </c>
    </row>
    <row r="7" customFormat="false" ht="15" hidden="false" customHeight="false" outlineLevel="0" collapsed="false">
      <c r="A7" s="11" t="s">
        <v>336</v>
      </c>
      <c r="B7" s="11" t="n">
        <f aca="false">COUNTIF(Produtos!$C$2:$C$2000,A7)</f>
        <v>18</v>
      </c>
      <c r="C7" s="11" t="n">
        <f aca="false">COUNTIFS(Produtos!$C$2:$C$2000,A7,Produtos!$H$2:$H$2000,"&gt;0")</f>
        <v>18</v>
      </c>
      <c r="D7" s="11" t="n">
        <f aca="false">COUNTIFS(Produtos!$C$2:$C$2000,A7,Produtos!$R$2:$R$2000,"Conferir")</f>
        <v>18</v>
      </c>
      <c r="E7" s="11" t="n">
        <f aca="false">COUNTIFS(Produtos!$C$2:$C$2000,A7,Produtos!$O$2:$O$2000,TRUE())</f>
        <v>18</v>
      </c>
      <c r="F7" s="11" t="n">
        <f aca="false">COUNTIFS(Produtos!$C$2:$C$2000,A7,Produtos!$T$2:$T$2000,0)</f>
        <v>1</v>
      </c>
    </row>
    <row r="8" customFormat="false" ht="15" hidden="false" customHeight="false" outlineLevel="0" collapsed="false">
      <c r="A8" s="11" t="s">
        <v>424</v>
      </c>
      <c r="B8" s="11" t="n">
        <f aca="false">COUNTIF(Produtos!$C$2:$C$2000,A8)</f>
        <v>12</v>
      </c>
      <c r="C8" s="11" t="n">
        <f aca="false">COUNTIFS(Produtos!$C$2:$C$2000,A8,Produtos!$H$2:$H$2000,"&gt;0")</f>
        <v>12</v>
      </c>
      <c r="D8" s="11" t="n">
        <f aca="false">COUNTIFS(Produtos!$C$2:$C$2000,A8,Produtos!$R$2:$R$2000,"Conferir")</f>
        <v>0</v>
      </c>
      <c r="E8" s="11" t="n">
        <f aca="false">COUNTIFS(Produtos!$C$2:$C$2000,A8,Produtos!$O$2:$O$2000,TRUE())</f>
        <v>12</v>
      </c>
      <c r="F8" s="11" t="n">
        <f aca="false">COUNTIFS(Produtos!$C$2:$C$2000,A8,Produtos!$T$2:$T$2000,0)</f>
        <v>10</v>
      </c>
    </row>
    <row r="9" customFormat="false" ht="15" hidden="false" customHeight="false" outlineLevel="0" collapsed="false">
      <c r="A9" s="11" t="s">
        <v>131</v>
      </c>
      <c r="B9" s="11" t="n">
        <f aca="false">COUNTIF(Produtos!$C$2:$C$2000,A9)</f>
        <v>22</v>
      </c>
      <c r="C9" s="11" t="n">
        <f aca="false">COUNTIFS(Produtos!$C$2:$C$2000,A9,Produtos!$H$2:$H$2000,"&gt;0")</f>
        <v>22</v>
      </c>
      <c r="D9" s="11" t="n">
        <f aca="false">COUNTIFS(Produtos!$C$2:$C$2000,A9,Produtos!$R$2:$R$2000,"Conferir")</f>
        <v>0</v>
      </c>
      <c r="E9" s="11" t="n">
        <f aca="false">COUNTIFS(Produtos!$C$2:$C$2000,A9,Produtos!$O$2:$O$2000,TRUE())</f>
        <v>22</v>
      </c>
      <c r="F9" s="11" t="n">
        <f aca="false">COUNTIFS(Produtos!$C$2:$C$2000,A9,Produtos!$T$2:$T$2000,0)</f>
        <v>22</v>
      </c>
    </row>
    <row r="10" customFormat="false" ht="15" hidden="false" customHeight="false" outlineLevel="0" collapsed="false">
      <c r="A10" s="11" t="s">
        <v>106</v>
      </c>
      <c r="B10" s="11" t="n">
        <f aca="false">COUNTIF(Produtos!$C$2:$C$2000,A10)</f>
        <v>48</v>
      </c>
      <c r="C10" s="11" t="n">
        <f aca="false">COUNTIFS(Produtos!$C$2:$C$2000,A10,Produtos!$H$2:$H$2000,"&gt;0")</f>
        <v>48</v>
      </c>
      <c r="D10" s="11" t="n">
        <f aca="false">COUNTIFS(Produtos!$C$2:$C$2000,A10,Produtos!$R$2:$R$2000,"Conferir")</f>
        <v>3</v>
      </c>
      <c r="E10" s="11" t="n">
        <f aca="false">COUNTIFS(Produtos!$C$2:$C$2000,A10,Produtos!$O$2:$O$2000,TRUE())</f>
        <v>48</v>
      </c>
      <c r="F10" s="11" t="n">
        <f aca="false">COUNTIFS(Produtos!$C$2:$C$2000,A10,Produtos!$T$2:$T$2000,0)</f>
        <v>47</v>
      </c>
    </row>
    <row r="11" customFormat="false" ht="15" hidden="false" customHeight="false" outlineLevel="0" collapsed="false">
      <c r="A11" s="14" t="s">
        <v>1083</v>
      </c>
      <c r="B11" s="14" t="n">
        <f aca="false">SUM(B4:B10)</f>
        <v>154</v>
      </c>
      <c r="C11" s="14" t="n">
        <f aca="false">SUM(C4:C10)</f>
        <v>154</v>
      </c>
      <c r="D11" s="14" t="n">
        <f aca="false">SUM(D4:D10)</f>
        <v>29</v>
      </c>
      <c r="E11" s="14" t="n">
        <f aca="false">SUM(E4:E10)</f>
        <v>154</v>
      </c>
      <c r="F11" s="14" t="n">
        <f aca="false">SUM(F4:F10)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2026-09-30T18:44:43Z</dcterms:created>
  <dc:creator>openpyxl</dc:creator>
  <dc:description/>
  <dc:language>en-US</dc:language>
  <cp:lastModifiedBy/>
  <dcterms:modified xsi:type="dcterms:W3CDTF">2026-09-30T18:44:43Z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